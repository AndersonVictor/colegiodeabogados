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6440" tabRatio="801" firstSheet="0" activeTab="3" autoFilterDateGrouping="1"/>
  </bookViews>
  <sheets>
    <sheet xmlns:r="http://schemas.openxmlformats.org/officeDocument/2006/relationships" name="Carga Procesal" sheetId="1" state="visible" r:id="rId1"/>
    <sheet xmlns:r="http://schemas.openxmlformats.org/officeDocument/2006/relationships" name="Poblacion_Data" sheetId="2" state="visible" r:id="rId2"/>
    <sheet xmlns:r="http://schemas.openxmlformats.org/officeDocument/2006/relationships" name="Poblacion_Pivot" sheetId="3" state="visible" r:id="rId3"/>
    <sheet xmlns:r="http://schemas.openxmlformats.org/officeDocument/2006/relationships" name="Resumen_Provincia" sheetId="4" state="visible" r:id="rId4"/>
    <sheet xmlns:r="http://schemas.openxmlformats.org/officeDocument/2006/relationships" name="Detalle_Provincia" sheetId="5" state="visible" r:id="rId5"/>
    <sheet xmlns:r="http://schemas.openxmlformats.org/officeDocument/2006/relationships" name="Resumen_Tipo" sheetId="6" state="visible" r:id="rId6"/>
    <sheet xmlns:r="http://schemas.openxmlformats.org/officeDocument/2006/relationships" name="Data_Plana" sheetId="7" state="visible" r:id="rId7"/>
    <sheet xmlns:r="http://schemas.openxmlformats.org/officeDocument/2006/relationships" name="Resumen" sheetId="8" state="visible" r:id="rId8"/>
    <sheet xmlns:r="http://schemas.openxmlformats.org/officeDocument/2006/relationships" name="Audiencias_Data" sheetId="9" state="visible" r:id="rId9"/>
    <sheet xmlns:r="http://schemas.openxmlformats.org/officeDocument/2006/relationships" name="Audiencias_Pivot" sheetId="10" state="visible" r:id="rId10"/>
    <sheet xmlns:r="http://schemas.openxmlformats.org/officeDocument/2006/relationships" name="Alerta_Sobrecarga" sheetId="11" state="visible" r:id="rId11"/>
    <sheet xmlns:r="http://schemas.openxmlformats.org/officeDocument/2006/relationships" name="Pob_Proyeccion" sheetId="12" state="visible" r:id="rId12"/>
    <sheet xmlns:r="http://schemas.openxmlformats.org/officeDocument/2006/relationships" name="Jueces_Pob_2026" sheetId="13" state="visible" r:id="rId13"/>
    <sheet xmlns:r="http://schemas.openxmlformats.org/officeDocument/2006/relationships" name="Personal_Regimen" sheetId="14" state="visible" r:id="rId14"/>
    <sheet xmlns:r="http://schemas.openxmlformats.org/officeDocument/2006/relationships" name="Personal_Cargos" sheetId="15" state="visible" r:id="rId1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Aptos Narrow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0"/>
    </font>
    <font>
      <name val="Arial"/>
      <family val="2"/>
      <b val="1"/>
      <sz val="9"/>
    </font>
    <font>
      <name val="Arial"/>
      <family val="2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0000"/>
      <sz val="9"/>
    </font>
    <font>
      <name val="Arial"/>
      <family val="2"/>
      <color rgb="FF000000"/>
      <sz val="9"/>
    </font>
    <font>
      <name val="Arial"/>
      <family val="2"/>
      <b val="1"/>
      <color rgb="FFFFFFFF"/>
      <sz val="8"/>
    </font>
    <font>
      <name val="Arial"/>
      <family val="2"/>
      <i val="1"/>
      <color rgb="FF595959"/>
      <sz val="8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Segoe UI"/>
      <family val="2"/>
      <color theme="1"/>
      <sz val="9"/>
    </font>
    <font>
      <name val="Calibri"/>
      <charset val="1"/>
      <family val="2"/>
      <color theme="1"/>
      <sz val="11"/>
      <u val="single"/>
    </font>
    <font>
      <name val="Arial"/>
      <family val="2"/>
      <color theme="1"/>
      <sz val="9"/>
    </font>
  </fonts>
  <fills count="29">
    <fill>
      <patternFill/>
    </fill>
    <fill>
      <patternFill patternType="gray125"/>
    </fill>
    <fill>
      <patternFill patternType="solid">
        <fgColor rgb="FF4A3A8A"/>
        <bgColor rgb="FF1F4E79"/>
      </patternFill>
    </fill>
    <fill>
      <patternFill patternType="solid">
        <fgColor rgb="FFD6E4F0"/>
        <bgColor rgb="FFDDEBF7"/>
      </patternFill>
    </fill>
    <fill>
      <patternFill patternType="solid">
        <fgColor rgb="FFFFFFFF"/>
        <bgColor rgb="FFF2F2F2"/>
      </patternFill>
    </fill>
    <fill>
      <patternFill patternType="solid">
        <fgColor rgb="FFD9EAD3"/>
        <bgColor rgb="FFD6E4F0"/>
      </patternFill>
    </fill>
    <fill>
      <patternFill patternType="solid">
        <fgColor rgb="FFFFF2CC"/>
        <bgColor rgb="FFFCE4D6"/>
      </patternFill>
    </fill>
    <fill>
      <patternFill patternType="solid">
        <fgColor rgb="FFE2DCEF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6E4F0"/>
      </patternFill>
    </fill>
    <fill>
      <patternFill patternType="solid">
        <fgColor rgb="FFEDEDED"/>
        <bgColor rgb="FFF2F2F2"/>
      </patternFill>
    </fill>
    <fill>
      <patternFill patternType="solid">
        <fgColor rgb="FFF4CCCC"/>
        <bgColor rgb="FFFFE0B2"/>
      </patternFill>
    </fill>
    <fill>
      <patternFill patternType="solid">
        <fgColor rgb="FFFFE0B2"/>
        <bgColor rgb="FFFCE4D6"/>
      </patternFill>
    </fill>
    <fill>
      <patternFill patternType="solid">
        <fgColor rgb="FF1F4E79"/>
        <bgColor rgb="FF0D6B6E"/>
      </patternFill>
    </fill>
    <fill>
      <patternFill patternType="solid">
        <fgColor rgb="FF595959"/>
        <bgColor rgb="FF4A3A8A"/>
      </patternFill>
    </fill>
    <fill>
      <patternFill patternType="solid">
        <fgColor rgb="FFF2F2F2"/>
        <bgColor rgb="FFFCE4EC"/>
      </patternFill>
    </fill>
    <fill>
      <patternFill patternType="solid">
        <fgColor rgb="FFD6E4F0"/>
        <bgColor rgb="FFE2DCEF"/>
      </patternFill>
    </fill>
    <fill>
      <patternFill patternType="solid">
        <fgColor rgb="FFFFF2CC"/>
        <bgColor rgb="FFF2F2F2"/>
      </patternFill>
    </fill>
    <fill>
      <patternFill patternType="solid">
        <fgColor rgb="FFFCE4EC"/>
        <bgColor rgb="FFF2F2F2"/>
      </patternFill>
    </fill>
    <fill>
      <patternFill patternType="solid">
        <fgColor rgb="FF1D6B4A"/>
        <bgColor rgb="FF0D6B6E"/>
      </patternFill>
    </fill>
    <fill>
      <patternFill patternType="solid">
        <fgColor rgb="FF843C0C"/>
        <bgColor rgb="FF7B3F00"/>
      </patternFill>
    </fill>
    <fill>
      <patternFill patternType="solid">
        <fgColor rgb="FF0D6B6E"/>
        <bgColor rgb="FF1D6B4A"/>
      </patternFill>
    </fill>
    <fill>
      <patternFill patternType="solid">
        <fgColor rgb="FF7B3F00"/>
        <bgColor rgb="FF843C0C"/>
      </patternFill>
    </fill>
    <fill>
      <patternFill patternType="solid">
        <fgColor rgb="FF5C3317"/>
        <bgColor rgb="FF7B3F00"/>
      </patternFill>
    </fill>
    <fill>
      <patternFill patternType="solid">
        <fgColor rgb="FFB8860B"/>
        <bgColor rgb="FFFF990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DEDED"/>
      </patternFill>
    </fill>
    <fill>
      <patternFill patternType="solid">
        <fgColor rgb="FF1F4E79"/>
        <bgColor rgb="FF1D6B4A"/>
      </patternFill>
    </fill>
    <fill>
      <patternFill patternType="solid">
        <fgColor rgb="FF1D6B4A"/>
        <bgColor rgb="FF1F4E79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2">
    <xf numFmtId="0" fontId="0" fillId="0" borderId="0"/>
    <xf numFmtId="0" fontId="1" fillId="0" borderId="0"/>
  </cellStyleXfs>
  <cellXfs count="103">
    <xf numFmtId="0" fontId="0" fillId="0" borderId="0" pivotButton="0" quotePrefix="0" xfId="0"/>
    <xf numFmtId="3" fontId="0" fillId="0" borderId="0" pivotButton="0" quotePrefix="0" xfId="0"/>
    <xf numFmtId="0" fontId="1" fillId="0" borderId="0" pivotButton="0" quotePrefix="0" xfId="1"/>
    <xf numFmtId="0" fontId="3" fillId="2" borderId="1" applyAlignment="1" pivotButton="0" quotePrefix="0" xfId="1">
      <alignment horizontal="center" vertical="center" wrapText="1"/>
    </xf>
    <xf numFmtId="0" fontId="4" fillId="3" borderId="1" applyAlignment="1" pivotButton="0" quotePrefix="0" xfId="1">
      <alignment horizontal="left" vertical="center"/>
    </xf>
    <xf numFmtId="0" fontId="5" fillId="4" borderId="1" applyAlignment="1" pivotButton="0" quotePrefix="0" xfId="1">
      <alignment horizontal="center" vertical="center"/>
    </xf>
    <xf numFmtId="3" fontId="5" fillId="4" borderId="1" applyAlignment="1" pivotButton="0" quotePrefix="0" xfId="1">
      <alignment horizontal="center" vertical="center"/>
    </xf>
    <xf numFmtId="164" fontId="5" fillId="4" borderId="1" applyAlignment="1" pivotButton="0" quotePrefix="0" xfId="1">
      <alignment horizontal="center" vertical="center" wrapText="1"/>
    </xf>
    <xf numFmtId="164" fontId="5" fillId="5" borderId="1" applyAlignment="1" pivotButton="0" quotePrefix="0" xfId="1">
      <alignment horizontal="center" vertical="center" wrapText="1"/>
    </xf>
    <xf numFmtId="3" fontId="5" fillId="6" borderId="1" applyAlignment="1" pivotButton="0" quotePrefix="0" xfId="1">
      <alignment horizontal="center" vertical="center"/>
    </xf>
    <xf numFmtId="0" fontId="4" fillId="5" borderId="1" applyAlignment="1" pivotButton="0" quotePrefix="0" xfId="1">
      <alignment horizontal="left" vertical="center"/>
    </xf>
    <xf numFmtId="0" fontId="4" fillId="7" borderId="1" applyAlignment="1" pivotButton="0" quotePrefix="0" xfId="1">
      <alignment horizontal="left" vertical="center"/>
    </xf>
    <xf numFmtId="0" fontId="4" fillId="6" borderId="1" applyAlignment="1" pivotButton="0" quotePrefix="0" xfId="1">
      <alignment horizontal="left" vertical="center"/>
    </xf>
    <xf numFmtId="0" fontId="4" fillId="8" borderId="1" applyAlignment="1" pivotButton="0" quotePrefix="0" xfId="1">
      <alignment horizontal="left" vertical="center"/>
    </xf>
    <xf numFmtId="0" fontId="4" fillId="9" borderId="1" applyAlignment="1" pivotButton="0" quotePrefix="0" xfId="1">
      <alignment horizontal="left" vertical="center"/>
    </xf>
    <xf numFmtId="0" fontId="4" fillId="10" borderId="1" applyAlignment="1" pivotButton="0" quotePrefix="0" xfId="1">
      <alignment horizontal="left" vertical="center"/>
    </xf>
    <xf numFmtId="0" fontId="4" fillId="11" borderId="1" applyAlignment="1" pivotButton="0" quotePrefix="0" xfId="1">
      <alignment horizontal="left" vertical="center"/>
    </xf>
    <xf numFmtId="0" fontId="4" fillId="12" borderId="1" applyAlignment="1" pivotButton="0" quotePrefix="0" xfId="1">
      <alignment horizontal="left" vertical="center"/>
    </xf>
    <xf numFmtId="164" fontId="5" fillId="8" borderId="1" applyAlignment="1" pivotButton="0" quotePrefix="0" xfId="1">
      <alignment horizontal="center" vertical="center" wrapText="1"/>
    </xf>
    <xf numFmtId="0" fontId="6" fillId="14" borderId="1" applyAlignment="1" pivotButton="0" quotePrefix="0" xfId="1">
      <alignment horizontal="center" vertical="center" wrapText="1"/>
    </xf>
    <xf numFmtId="0" fontId="6" fillId="13" borderId="1" applyAlignment="1" pivotButton="0" quotePrefix="0" xfId="1">
      <alignment horizontal="left" vertical="center" wrapText="1"/>
    </xf>
    <xf numFmtId="0" fontId="8" fillId="16" borderId="1" applyAlignment="1" pivotButton="0" quotePrefix="0" xfId="1">
      <alignment horizontal="center" vertical="center" wrapText="1"/>
    </xf>
    <xf numFmtId="0" fontId="8" fillId="5" borderId="1" applyAlignment="1" pivotButton="0" quotePrefix="0" xfId="1">
      <alignment horizontal="center" vertical="center" wrapText="1"/>
    </xf>
    <xf numFmtId="0" fontId="8" fillId="17" borderId="1" applyAlignment="1" pivotButton="0" quotePrefix="0" xfId="1">
      <alignment horizontal="center" vertical="center" wrapText="1"/>
    </xf>
    <xf numFmtId="0" fontId="8" fillId="18" borderId="1" applyAlignment="1" pivotButton="0" quotePrefix="0" xfId="1">
      <alignment horizontal="center" vertical="center" wrapText="1"/>
    </xf>
    <xf numFmtId="0" fontId="6" fillId="19" borderId="1" applyAlignment="1" pivotButton="0" quotePrefix="0" xfId="1">
      <alignment horizontal="left" vertical="center" wrapText="1"/>
    </xf>
    <xf numFmtId="0" fontId="6" fillId="2" borderId="1" applyAlignment="1" pivotButton="0" quotePrefix="0" xfId="1">
      <alignment horizontal="left" vertical="center" wrapText="1"/>
    </xf>
    <xf numFmtId="0" fontId="8" fillId="4" borderId="1" applyAlignment="1" pivotButton="0" quotePrefix="0" xfId="1">
      <alignment horizontal="center" vertical="center" wrapText="1"/>
    </xf>
    <xf numFmtId="0" fontId="6" fillId="20" borderId="1" applyAlignment="1" pivotButton="0" quotePrefix="0" xfId="1">
      <alignment horizontal="left" vertical="center" wrapText="1"/>
    </xf>
    <xf numFmtId="0" fontId="6" fillId="21" borderId="1" applyAlignment="1" pivotButton="0" quotePrefix="0" xfId="1">
      <alignment horizontal="left" vertical="center" wrapText="1"/>
    </xf>
    <xf numFmtId="0" fontId="6" fillId="14" borderId="1" applyAlignment="1" pivotButton="0" quotePrefix="0" xfId="1">
      <alignment horizontal="left" vertical="center" wrapText="1"/>
    </xf>
    <xf numFmtId="0" fontId="6" fillId="22" borderId="1" applyAlignment="1" pivotButton="0" quotePrefix="0" xfId="1">
      <alignment horizontal="left" vertical="center" wrapText="1"/>
    </xf>
    <xf numFmtId="0" fontId="6" fillId="23" borderId="1" applyAlignment="1" pivotButton="0" quotePrefix="0" xfId="1">
      <alignment horizontal="left" vertical="center" wrapText="1"/>
    </xf>
    <xf numFmtId="0" fontId="6" fillId="13" borderId="1" applyAlignment="1" pivotButton="0" quotePrefix="0" xfId="1">
      <alignment horizontal="center" vertical="center" wrapText="1"/>
    </xf>
    <xf numFmtId="0" fontId="9" fillId="24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left" vertical="center" wrapText="1"/>
    </xf>
    <xf numFmtId="0" fontId="9" fillId="2" borderId="1" applyAlignment="1" pivotButton="0" quotePrefix="0" xfId="1">
      <alignment horizontal="center" vertical="center" wrapText="1"/>
    </xf>
    <xf numFmtId="0" fontId="8" fillId="15" borderId="1" applyAlignment="1" pivotButton="0" quotePrefix="0" xfId="1">
      <alignment horizontal="center" vertical="center" wrapText="1"/>
    </xf>
    <xf numFmtId="0" fontId="9" fillId="19" borderId="1" applyAlignment="1" pivotButton="0" quotePrefix="0" xfId="1">
      <alignment horizontal="center" vertical="center" wrapText="1"/>
    </xf>
    <xf numFmtId="0" fontId="9" fillId="25" borderId="1" applyAlignment="1" pivotButton="0" quotePrefix="0" xfId="1">
      <alignment horizontal="center" vertical="center" wrapText="1"/>
    </xf>
    <xf numFmtId="0" fontId="9" fillId="14" borderId="1" applyAlignment="1" pivotButton="0" quotePrefix="0" xfId="1">
      <alignment horizontal="center" vertical="center" wrapText="1"/>
    </xf>
    <xf numFmtId="0" fontId="7" fillId="16" borderId="1" applyAlignment="1" pivotButton="0" quotePrefix="0" xfId="1">
      <alignment horizontal="center" vertical="center" wrapText="1"/>
    </xf>
    <xf numFmtId="0" fontId="7" fillId="5" borderId="1" applyAlignment="1" pivotButton="0" quotePrefix="0" xfId="1">
      <alignment horizontal="center" vertical="center" wrapText="1"/>
    </xf>
    <xf numFmtId="0" fontId="7" fillId="7" borderId="1" applyAlignment="1" pivotButton="0" quotePrefix="0" xfId="1">
      <alignment horizontal="center" vertical="center" wrapText="1"/>
    </xf>
    <xf numFmtId="0" fontId="7" fillId="17" borderId="1" applyAlignment="1" pivotButton="0" quotePrefix="0" xfId="1">
      <alignment horizontal="center" vertical="center" wrapText="1"/>
    </xf>
    <xf numFmtId="0" fontId="6" fillId="25" borderId="1" applyAlignment="1" pivotButton="0" quotePrefix="0" xfId="1">
      <alignment horizontal="center" vertical="center" wrapText="1"/>
    </xf>
    <xf numFmtId="0" fontId="7" fillId="4" borderId="1" applyAlignment="1" pivotButton="0" quotePrefix="0" xfId="1">
      <alignment horizontal="center" vertical="center" wrapText="1"/>
    </xf>
    <xf numFmtId="0" fontId="3" fillId="25" borderId="1" applyAlignment="1" pivotButton="0" quotePrefix="0" xfId="1">
      <alignment horizontal="center" vertical="center" wrapText="1"/>
    </xf>
    <xf numFmtId="0" fontId="5" fillId="3" borderId="1" applyAlignment="1" pivotButton="0" quotePrefix="0" xfId="1">
      <alignment horizontal="left" vertical="center"/>
    </xf>
    <xf numFmtId="0" fontId="5" fillId="7" borderId="1" applyAlignment="1" pivotButton="0" quotePrefix="0" xfId="1">
      <alignment horizontal="left" vertical="center"/>
    </xf>
    <xf numFmtId="0" fontId="5" fillId="26" borderId="1" applyAlignment="1" pivotButton="0" quotePrefix="0" xfId="1">
      <alignment horizontal="left" vertical="center"/>
    </xf>
    <xf numFmtId="0" fontId="3" fillId="14" borderId="1" applyAlignment="1" pivotButton="0" quotePrefix="0" xfId="1">
      <alignment horizontal="center" vertical="center" wrapText="1"/>
    </xf>
    <xf numFmtId="0" fontId="4" fillId="3" borderId="1" applyAlignment="1" pivotButton="0" quotePrefix="0" xfId="1">
      <alignment horizontal="left" vertical="center" wrapText="1"/>
    </xf>
    <xf numFmtId="0" fontId="4" fillId="5" borderId="1" applyAlignment="1" pivotButton="0" quotePrefix="0" xfId="1">
      <alignment horizontal="left" vertical="center" wrapText="1"/>
    </xf>
    <xf numFmtId="0" fontId="4" fillId="7" borderId="1" applyAlignment="1" pivotButton="0" quotePrefix="0" xfId="1">
      <alignment horizontal="left" vertical="center" wrapText="1"/>
    </xf>
    <xf numFmtId="0" fontId="4" fillId="6" borderId="1" applyAlignment="1" pivotButton="0" quotePrefix="0" xfId="1">
      <alignment horizontal="left" vertical="center" wrapText="1"/>
    </xf>
    <xf numFmtId="0" fontId="4" fillId="8" borderId="1" applyAlignment="1" pivotButton="0" quotePrefix="0" xfId="1">
      <alignment horizontal="left" vertical="center" wrapText="1"/>
    </xf>
    <xf numFmtId="0" fontId="4" fillId="9" borderId="1" applyAlignment="1" pivotButton="0" quotePrefix="0" xfId="1">
      <alignment horizontal="left" vertical="center" wrapText="1"/>
    </xf>
    <xf numFmtId="0" fontId="4" fillId="10" borderId="1" applyAlignment="1" pivotButton="0" quotePrefix="0" xfId="1">
      <alignment horizontal="left" vertical="center" wrapText="1"/>
    </xf>
    <xf numFmtId="0" fontId="4" fillId="11" borderId="1" applyAlignment="1" pivotButton="0" quotePrefix="0" xfId="1">
      <alignment horizontal="left" vertical="center" wrapText="1"/>
    </xf>
    <xf numFmtId="0" fontId="4" fillId="26" borderId="1" applyAlignment="1" pivotButton="0" quotePrefix="0" xfId="1">
      <alignment horizontal="left" vertical="center" wrapText="1"/>
    </xf>
    <xf numFmtId="3" fontId="4" fillId="26" borderId="1" applyAlignment="1" pivotButton="0" quotePrefix="0" xfId="1">
      <alignment horizontal="center" vertical="center" wrapText="1"/>
    </xf>
    <xf numFmtId="164" fontId="4" fillId="26" borderId="1" applyAlignment="1" pivotButton="0" quotePrefix="0" xfId="1">
      <alignment horizontal="center" vertical="center" wrapText="1"/>
    </xf>
    <xf numFmtId="164" fontId="5" fillId="7" borderId="1" applyAlignment="1" pivotButton="0" quotePrefix="0" xfId="1">
      <alignment horizontal="center" vertical="center" wrapText="1"/>
    </xf>
    <xf numFmtId="0" fontId="4" fillId="12" borderId="1" applyAlignment="1" pivotButton="0" quotePrefix="0" xfId="1">
      <alignment horizontal="left" vertical="center" wrapText="1"/>
    </xf>
    <xf numFmtId="0" fontId="5" fillId="4" borderId="1" applyAlignment="1" pivotButton="0" quotePrefix="0" xfId="1">
      <alignment horizontal="center" vertical="center" wrapText="1"/>
    </xf>
    <xf numFmtId="0" fontId="5" fillId="4" borderId="1" applyAlignment="1" pivotButton="0" quotePrefix="0" xfId="1">
      <alignment horizontal="left" vertical="center"/>
    </xf>
    <xf numFmtId="3" fontId="5" fillId="26" borderId="1" applyAlignment="1" pivotButton="0" quotePrefix="0" xfId="1">
      <alignment horizontal="center" vertical="center"/>
    </xf>
    <xf numFmtId="0" fontId="13" fillId="0" borderId="0" applyAlignment="1" pivotButton="0" quotePrefix="0" xfId="0">
      <alignment horizontal="center" vertical="center"/>
    </xf>
    <xf numFmtId="10" fontId="13" fillId="0" borderId="0" applyAlignment="1" pivotButton="0" quotePrefix="0" xfId="0">
      <alignment horizontal="center" vertical="center"/>
    </xf>
    <xf numFmtId="0" fontId="14" fillId="0" borderId="0" pivotButton="0" quotePrefix="0" xfId="1"/>
    <xf numFmtId="0" fontId="15" fillId="4" borderId="1" applyAlignment="1" pivotButton="0" quotePrefix="0" xfId="1">
      <alignment horizontal="center" vertical="center" wrapText="1"/>
    </xf>
    <xf numFmtId="0" fontId="8" fillId="4" borderId="2" applyAlignment="1" pivotButton="0" quotePrefix="0" xfId="1">
      <alignment horizontal="center" vertical="center" wrapText="1"/>
    </xf>
    <xf numFmtId="0" fontId="9" fillId="25" borderId="2" applyAlignment="1" pivotButton="0" quotePrefix="0" xfId="1">
      <alignment horizontal="center" vertical="center" wrapText="1"/>
    </xf>
    <xf numFmtId="0" fontId="8" fillId="4" borderId="2" applyAlignment="1" pivotButton="0" quotePrefix="0" xfId="1">
      <alignment horizontal="left" vertical="center" wrapText="1"/>
    </xf>
    <xf numFmtId="0" fontId="8" fillId="18" borderId="2" applyAlignment="1" pivotButton="0" quotePrefix="0" xfId="1">
      <alignment horizontal="center" vertical="center" wrapText="1"/>
    </xf>
    <xf numFmtId="0" fontId="8" fillId="15" borderId="2" applyAlignment="1" pivotButton="0" quotePrefix="0" xfId="1">
      <alignment horizontal="center" vertical="center" wrapText="1"/>
    </xf>
    <xf numFmtId="1" fontId="7" fillId="15" borderId="1" applyAlignment="1" pivotButton="0" quotePrefix="0" xfId="1">
      <alignment horizontal="center" vertical="center" wrapText="1"/>
    </xf>
    <xf numFmtId="0" fontId="2" fillId="13" borderId="0" applyAlignment="1" pivotButton="0" quotePrefix="0" xfId="1">
      <alignment horizontal="center" vertical="center" wrapText="1"/>
    </xf>
    <xf numFmtId="0" fontId="2" fillId="2" borderId="0" applyAlignment="1" pivotButton="0" quotePrefix="0" xfId="1">
      <alignment horizontal="center" vertical="center" wrapText="1"/>
    </xf>
    <xf numFmtId="0" fontId="3" fillId="2" borderId="3" applyAlignment="1" pivotButton="0" quotePrefix="0" xfId="1">
      <alignment horizontal="center" vertical="center" wrapText="1"/>
    </xf>
    <xf numFmtId="0" fontId="3" fillId="14" borderId="2" applyAlignment="1" pivotButton="0" quotePrefix="0" xfId="1">
      <alignment horizontal="left" vertical="center" wrapText="1"/>
    </xf>
    <xf numFmtId="0" fontId="3" fillId="22" borderId="2" applyAlignment="1" pivotButton="0" quotePrefix="0" xfId="1">
      <alignment horizontal="left" vertical="center" wrapText="1"/>
    </xf>
    <xf numFmtId="0" fontId="3" fillId="23" borderId="2" applyAlignment="1" pivotButton="0" quotePrefix="0" xfId="1">
      <alignment horizontal="left" vertical="center" wrapText="1"/>
    </xf>
    <xf numFmtId="0" fontId="3" fillId="13" borderId="2" applyAlignment="1" pivotButton="0" quotePrefix="0" xfId="1">
      <alignment horizontal="left" vertical="center" wrapText="1"/>
    </xf>
    <xf numFmtId="0" fontId="3" fillId="19" borderId="2" applyAlignment="1" pivotButton="0" quotePrefix="0" xfId="1">
      <alignment horizontal="left" vertical="center" wrapText="1"/>
    </xf>
    <xf numFmtId="0" fontId="3" fillId="2" borderId="2" applyAlignment="1" pivotButton="0" quotePrefix="0" xfId="1">
      <alignment horizontal="left" vertical="center" wrapText="1"/>
    </xf>
    <xf numFmtId="0" fontId="3" fillId="20" borderId="2" applyAlignment="1" pivotButton="0" quotePrefix="0" xfId="1">
      <alignment horizontal="left" vertical="center" wrapText="1"/>
    </xf>
    <xf numFmtId="0" fontId="3" fillId="21" borderId="2" applyAlignment="1" pivotButton="0" quotePrefix="0" xfId="1">
      <alignment horizontal="left" vertical="center" wrapText="1"/>
    </xf>
    <xf numFmtId="0" fontId="10" fillId="0" borderId="0" applyAlignment="1" pivotButton="0" quotePrefix="0" xfId="1">
      <alignment horizontal="left" vertical="center" wrapText="1"/>
    </xf>
    <xf numFmtId="0" fontId="3" fillId="25" borderId="2" applyAlignment="1" pivotButton="0" quotePrefix="0" xfId="1">
      <alignment horizontal="left" vertical="center" wrapText="1"/>
    </xf>
    <xf numFmtId="0" fontId="3" fillId="24" borderId="2" applyAlignment="1" pivotButton="0" quotePrefix="0" xfId="1">
      <alignment horizontal="left" vertical="center" wrapText="1"/>
    </xf>
    <xf numFmtId="0" fontId="11" fillId="27" borderId="0" applyAlignment="1" pivotButton="0" quotePrefix="0" xfId="1">
      <alignment horizontal="center" vertical="center" wrapText="1"/>
    </xf>
    <xf numFmtId="0" fontId="12" fillId="25" borderId="0" applyAlignment="1" pivotButton="0" quotePrefix="0" xfId="1">
      <alignment horizontal="center" vertical="center" wrapText="1"/>
    </xf>
    <xf numFmtId="0" fontId="12" fillId="2" borderId="4" applyAlignment="1" pivotButton="0" quotePrefix="0" xfId="1">
      <alignment horizontal="center" vertical="center" wrapText="1"/>
    </xf>
    <xf numFmtId="0" fontId="10" fillId="0" borderId="0" pivotButton="0" quotePrefix="0" xfId="1"/>
    <xf numFmtId="0" fontId="2" fillId="27" borderId="0" applyAlignment="1" pivotButton="0" quotePrefix="0" xfId="1">
      <alignment horizontal="center" vertical="center" wrapText="1"/>
    </xf>
    <xf numFmtId="0" fontId="3" fillId="28" borderId="1" applyAlignment="1" pivotButton="0" quotePrefix="0" xfId="1">
      <alignment horizontal="center" vertical="center" wrapText="1"/>
    </xf>
    <xf numFmtId="0" fontId="3" fillId="28" borderId="2" applyAlignment="1" pivotButton="0" quotePrefix="0" xfId="1">
      <alignment horizontal="center" vertical="center" wrapText="1"/>
    </xf>
    <xf numFmtId="0" fontId="0" fillId="0" borderId="6" pivotButton="0" quotePrefix="0" xfId="0"/>
    <xf numFmtId="0" fontId="0" fillId="0" borderId="8" pivotButton="0" quotePrefix="0" xfId="0"/>
    <xf numFmtId="0" fontId="0" fillId="0" borderId="4" pivotButton="0" quotePrefix="0" xfId="0"/>
    <xf numFmtId="0" fontId="0" fillId="0" borderId="9" pivotButton="0" quotePrefix="0" xfId="0"/>
  </cellXfs>
  <cellStyles count="2">
    <cellStyle name="Normal" xfId="0" builtinId="0"/>
    <cellStyle name="Normal 2" xfId="1"/>
  </cellStyles>
  <dxfs count="2">
    <dxf>
      <numFmt numFmtId="3" formatCode="#,##0"/>
    </dxf>
    <dxf>
      <numFmt numFmtId="3" formatCode="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ables/table1.xml><?xml version="1.0" encoding="utf-8"?>
<table xmlns="http://schemas.openxmlformats.org/spreadsheetml/2006/main" id="1" name="Tabla2" displayName="Tabla2" ref="A1:E59" headerRowCount="1" totalsRowShown="0">
  <autoFilter ref="A1:E59"/>
  <tableColumns count="5">
    <tableColumn id="1" name="Año"/>
    <tableColumn id="2" name="Especialidad"/>
    <tableColumn id="3" name="Ingresos" dataDxfId="1"/>
    <tableColumn id="4" name="Carga Procesal" dataDxfId="0"/>
    <tableColumn id="5" name="Resuelto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Hoja1">
    <tabColor theme="8"/>
    <outlinePr summaryBelow="1" summaryRight="1"/>
    <pageSetUpPr/>
  </sheetPr>
  <dimension ref="A1:E59"/>
  <sheetViews>
    <sheetView zoomScale="250" zoomScaleNormal="250" workbookViewId="0">
      <selection activeCell="A1" sqref="A1"/>
    </sheetView>
  </sheetViews>
  <sheetFormatPr baseColWidth="10" defaultRowHeight="15"/>
  <cols>
    <col width="8.5703125" bestFit="1" customWidth="1" min="1" max="1"/>
    <col width="17.140625" bestFit="1" customWidth="1" min="2" max="2"/>
    <col width="15.85546875" customWidth="1" min="4" max="4"/>
    <col width="11.7109375" customWidth="1" min="5" max="5"/>
  </cols>
  <sheetData>
    <row r="1">
      <c r="A1" t="inlineStr">
        <is>
          <t>Año</t>
        </is>
      </c>
      <c r="B1" t="inlineStr">
        <is>
          <t>Especialidad</t>
        </is>
      </c>
      <c r="C1" t="inlineStr">
        <is>
          <t>Ingresos</t>
        </is>
      </c>
      <c r="D1" t="inlineStr">
        <is>
          <t>Carga Procesal</t>
        </is>
      </c>
      <c r="E1" t="inlineStr">
        <is>
          <t>Resueltos</t>
        </is>
      </c>
    </row>
    <row r="2">
      <c r="A2" t="n">
        <v>2017</v>
      </c>
      <c r="B2" t="inlineStr">
        <is>
          <t>Civil</t>
        </is>
      </c>
      <c r="C2" s="1" t="n">
        <v>14257</v>
      </c>
      <c r="D2" s="1" t="n">
        <v>23698</v>
      </c>
      <c r="E2" t="n">
        <v>13223</v>
      </c>
    </row>
    <row r="3">
      <c r="A3" t="n">
        <v>2017</v>
      </c>
      <c r="B3" t="inlineStr">
        <is>
          <t>Familia</t>
        </is>
      </c>
      <c r="C3" s="1" t="n">
        <v>26130</v>
      </c>
      <c r="D3" s="1" t="n">
        <v>37058</v>
      </c>
      <c r="E3" t="n">
        <v>26249</v>
      </c>
    </row>
    <row r="4">
      <c r="A4" t="n">
        <v>2017</v>
      </c>
      <c r="B4" t="inlineStr">
        <is>
          <t>Laboral</t>
        </is>
      </c>
      <c r="C4" s="1" t="n">
        <v>13863</v>
      </c>
      <c r="D4" s="1" t="n">
        <v>19895</v>
      </c>
      <c r="E4" t="n">
        <v>10575</v>
      </c>
    </row>
    <row r="5">
      <c r="A5" t="n">
        <v>2017</v>
      </c>
      <c r="B5" t="inlineStr">
        <is>
          <t>Penal</t>
        </is>
      </c>
      <c r="C5" s="1" t="n">
        <v>23813</v>
      </c>
      <c r="D5" s="1" t="n">
        <v>31897</v>
      </c>
      <c r="E5" s="1" t="n">
        <v>21771</v>
      </c>
    </row>
    <row r="6">
      <c r="A6" t="n">
        <v>2018</v>
      </c>
      <c r="B6" t="inlineStr">
        <is>
          <t>Civil</t>
        </is>
      </c>
      <c r="C6" s="1" t="n">
        <v>9877</v>
      </c>
      <c r="D6" s="1" t="n">
        <v>17023</v>
      </c>
      <c r="E6" t="n">
        <v>10060</v>
      </c>
    </row>
    <row r="7">
      <c r="A7" t="n">
        <v>2018</v>
      </c>
      <c r="B7" t="inlineStr">
        <is>
          <t>Constitucional</t>
        </is>
      </c>
      <c r="C7" t="n">
        <v>0</v>
      </c>
      <c r="D7" t="n">
        <v>0</v>
      </c>
      <c r="E7" t="n">
        <v>0</v>
      </c>
    </row>
    <row r="8">
      <c r="A8" t="n">
        <v>2018</v>
      </c>
      <c r="B8" t="inlineStr">
        <is>
          <t>Extinción Dominio</t>
        </is>
      </c>
      <c r="C8" t="n">
        <v>0</v>
      </c>
      <c r="D8" t="n">
        <v>0</v>
      </c>
      <c r="E8" t="n">
        <v>0</v>
      </c>
    </row>
    <row r="9">
      <c r="A9" t="n">
        <v>2018</v>
      </c>
      <c r="B9" t="inlineStr">
        <is>
          <t>Familia</t>
        </is>
      </c>
      <c r="C9" s="1" t="n">
        <v>21971</v>
      </c>
      <c r="D9" s="1" t="n">
        <v>29955</v>
      </c>
      <c r="E9" t="n">
        <v>22084</v>
      </c>
    </row>
    <row r="10">
      <c r="A10" t="n">
        <v>2018</v>
      </c>
      <c r="B10" t="inlineStr">
        <is>
          <t>Laboral</t>
        </is>
      </c>
      <c r="C10" s="1" t="n">
        <v>13879</v>
      </c>
      <c r="D10" s="1" t="n">
        <v>20040</v>
      </c>
      <c r="E10" s="1" t="n">
        <v>11180</v>
      </c>
    </row>
    <row r="11">
      <c r="A11" t="n">
        <v>2018</v>
      </c>
      <c r="B11" t="inlineStr">
        <is>
          <t>Penal</t>
        </is>
      </c>
      <c r="C11" s="1" t="n">
        <v>16239</v>
      </c>
      <c r="D11" s="1" t="n">
        <v>23574</v>
      </c>
      <c r="E11" s="1" t="n">
        <v>13901</v>
      </c>
    </row>
    <row r="12">
      <c r="A12" t="n">
        <v>2019</v>
      </c>
      <c r="B12" t="inlineStr">
        <is>
          <t>Civil</t>
        </is>
      </c>
      <c r="C12" s="1" t="n">
        <v>9160</v>
      </c>
      <c r="D12" s="1" t="n">
        <v>16003</v>
      </c>
      <c r="E12" t="n">
        <v>8656</v>
      </c>
    </row>
    <row r="13">
      <c r="A13" t="n">
        <v>2019</v>
      </c>
      <c r="B13" t="inlineStr">
        <is>
          <t>Constitucional</t>
        </is>
      </c>
      <c r="C13" t="n">
        <v>0</v>
      </c>
      <c r="D13" t="n">
        <v>0</v>
      </c>
      <c r="E13" t="n">
        <v>0</v>
      </c>
    </row>
    <row r="14">
      <c r="A14" t="n">
        <v>2019</v>
      </c>
      <c r="B14" t="inlineStr">
        <is>
          <t>Extinción Dominio</t>
        </is>
      </c>
      <c r="C14" t="n">
        <v>1</v>
      </c>
      <c r="D14" t="n">
        <v>1</v>
      </c>
      <c r="E14" t="n">
        <v>0</v>
      </c>
    </row>
    <row r="15">
      <c r="A15" t="n">
        <v>2019</v>
      </c>
      <c r="B15" t="inlineStr">
        <is>
          <t>Familia</t>
        </is>
      </c>
      <c r="C15" s="1" t="n">
        <v>23892</v>
      </c>
      <c r="D15" s="1" t="n">
        <v>30471</v>
      </c>
      <c r="E15" t="n">
        <v>22614</v>
      </c>
    </row>
    <row r="16">
      <c r="A16" t="n">
        <v>2019</v>
      </c>
      <c r="B16" t="inlineStr">
        <is>
          <t>Laboral</t>
        </is>
      </c>
      <c r="C16" s="1" t="n">
        <v>12931</v>
      </c>
      <c r="D16" s="1" t="n">
        <v>19394</v>
      </c>
      <c r="E16" s="1" t="n">
        <v>10965</v>
      </c>
    </row>
    <row r="17">
      <c r="A17" t="n">
        <v>2019</v>
      </c>
      <c r="B17" t="inlineStr">
        <is>
          <t>Penal</t>
        </is>
      </c>
      <c r="C17" s="1" t="n">
        <v>19218</v>
      </c>
      <c r="D17" s="1" t="n">
        <v>26512</v>
      </c>
      <c r="E17" s="1" t="n">
        <v>15402</v>
      </c>
    </row>
    <row r="18">
      <c r="A18" t="n">
        <v>2020</v>
      </c>
      <c r="B18" t="inlineStr">
        <is>
          <t>Civil</t>
        </is>
      </c>
      <c r="C18" s="1" t="n">
        <v>4087</v>
      </c>
      <c r="D18" s="1" t="n">
        <v>10894</v>
      </c>
      <c r="E18" t="n">
        <v>4128</v>
      </c>
    </row>
    <row r="19">
      <c r="A19" t="n">
        <v>2020</v>
      </c>
      <c r="B19" t="inlineStr">
        <is>
          <t>Constitucional</t>
        </is>
      </c>
      <c r="C19" t="n">
        <v>0</v>
      </c>
      <c r="D19" t="n">
        <v>0</v>
      </c>
      <c r="E19" t="n">
        <v>0</v>
      </c>
    </row>
    <row r="20">
      <c r="A20" t="n">
        <v>2020</v>
      </c>
      <c r="B20" t="inlineStr">
        <is>
          <t>Extinción Dominio</t>
        </is>
      </c>
      <c r="C20" t="n">
        <v>3</v>
      </c>
      <c r="D20" t="n">
        <v>5</v>
      </c>
      <c r="E20" t="n">
        <v>0</v>
      </c>
    </row>
    <row r="21">
      <c r="A21" t="n">
        <v>2020</v>
      </c>
      <c r="B21" t="inlineStr">
        <is>
          <t>Familia</t>
        </is>
      </c>
      <c r="C21" s="1" t="n">
        <v>13959</v>
      </c>
      <c r="D21" s="1" t="n">
        <v>21076</v>
      </c>
      <c r="E21" t="n">
        <v>13403</v>
      </c>
    </row>
    <row r="22">
      <c r="A22" t="n">
        <v>2020</v>
      </c>
      <c r="B22" t="inlineStr">
        <is>
          <t>Laboral</t>
        </is>
      </c>
      <c r="C22" s="1" t="n">
        <v>6665</v>
      </c>
      <c r="D22" s="1" t="n">
        <v>13349</v>
      </c>
      <c r="E22" s="1" t="n">
        <v>5016</v>
      </c>
    </row>
    <row r="23">
      <c r="A23" t="n">
        <v>2020</v>
      </c>
      <c r="B23" t="inlineStr">
        <is>
          <t>Penal</t>
        </is>
      </c>
      <c r="C23" s="1" t="n">
        <v>9746</v>
      </c>
      <c r="D23" s="1" t="n">
        <v>19179</v>
      </c>
      <c r="E23" t="n">
        <v>7525</v>
      </c>
    </row>
    <row r="24">
      <c r="A24" t="n">
        <v>2021</v>
      </c>
      <c r="B24" t="inlineStr">
        <is>
          <t>Civil</t>
        </is>
      </c>
      <c r="C24" s="1" t="n">
        <v>10265</v>
      </c>
      <c r="D24" s="1" t="n">
        <v>15760</v>
      </c>
      <c r="E24" t="n">
        <v>8205</v>
      </c>
    </row>
    <row r="25">
      <c r="A25" t="n">
        <v>2021</v>
      </c>
      <c r="B25" t="inlineStr">
        <is>
          <t>Constitucional</t>
        </is>
      </c>
      <c r="C25" t="n">
        <v>0</v>
      </c>
      <c r="D25" t="n">
        <v>0</v>
      </c>
      <c r="E25" t="n">
        <v>0</v>
      </c>
    </row>
    <row r="26">
      <c r="A26" t="n">
        <v>2021</v>
      </c>
      <c r="B26" t="inlineStr">
        <is>
          <t>Extinción Dominio</t>
        </is>
      </c>
      <c r="C26" t="n">
        <v>18</v>
      </c>
      <c r="D26" t="n">
        <v>23</v>
      </c>
      <c r="E26" t="n">
        <v>12</v>
      </c>
    </row>
    <row r="27">
      <c r="A27" t="n">
        <v>2021</v>
      </c>
      <c r="B27" t="inlineStr">
        <is>
          <t>Familia</t>
        </is>
      </c>
      <c r="C27" s="1" t="n">
        <v>20282</v>
      </c>
      <c r="D27" s="1" t="n">
        <v>27130</v>
      </c>
      <c r="E27" t="n">
        <v>19152</v>
      </c>
    </row>
    <row r="28">
      <c r="A28" t="n">
        <v>2021</v>
      </c>
      <c r="B28" t="inlineStr">
        <is>
          <t>Laboral</t>
        </is>
      </c>
      <c r="C28" s="1" t="n">
        <v>12302</v>
      </c>
      <c r="D28" s="1" t="n">
        <v>17484</v>
      </c>
      <c r="E28" s="1" t="n">
        <v>11390</v>
      </c>
    </row>
    <row r="29">
      <c r="A29" t="n">
        <v>2021</v>
      </c>
      <c r="B29" t="inlineStr">
        <is>
          <t>Penal</t>
        </is>
      </c>
      <c r="C29" s="1" t="n">
        <v>26483</v>
      </c>
      <c r="D29" s="1" t="n">
        <v>36227</v>
      </c>
      <c r="E29" s="1" t="n">
        <v>16696</v>
      </c>
    </row>
    <row r="30">
      <c r="A30" t="n">
        <v>2022</v>
      </c>
      <c r="B30" t="inlineStr">
        <is>
          <t>Civil</t>
        </is>
      </c>
      <c r="C30" s="1" t="n">
        <v>10529</v>
      </c>
      <c r="D30" s="1" t="n">
        <v>17387</v>
      </c>
      <c r="E30" s="1" t="n">
        <v>10042</v>
      </c>
    </row>
    <row r="31">
      <c r="A31" t="n">
        <v>2022</v>
      </c>
      <c r="B31" t="inlineStr">
        <is>
          <t>Constitucional</t>
        </is>
      </c>
      <c r="C31" t="n">
        <v>0</v>
      </c>
      <c r="D31" t="n">
        <v>0</v>
      </c>
      <c r="E31" t="n">
        <v>0</v>
      </c>
    </row>
    <row r="32">
      <c r="A32" t="n">
        <v>2022</v>
      </c>
      <c r="B32" t="inlineStr">
        <is>
          <t>Extinción Dominio</t>
        </is>
      </c>
      <c r="C32" t="n">
        <v>64</v>
      </c>
      <c r="D32" t="n">
        <v>75</v>
      </c>
      <c r="E32" t="n">
        <v>45</v>
      </c>
    </row>
    <row r="33">
      <c r="A33" t="n">
        <v>2022</v>
      </c>
      <c r="B33" t="inlineStr">
        <is>
          <t>Familia</t>
        </is>
      </c>
      <c r="C33" s="1" t="n">
        <v>20203</v>
      </c>
      <c r="D33" s="1" t="n">
        <v>27590</v>
      </c>
      <c r="E33" s="1" t="n">
        <v>20545</v>
      </c>
    </row>
    <row r="34">
      <c r="A34" t="n">
        <v>2022</v>
      </c>
      <c r="B34" t="inlineStr">
        <is>
          <t>Laboral</t>
        </is>
      </c>
      <c r="C34" s="1" t="n">
        <v>12326</v>
      </c>
      <c r="D34" s="1" t="n">
        <v>16407</v>
      </c>
      <c r="E34" s="1" t="n">
        <v>11705</v>
      </c>
    </row>
    <row r="35">
      <c r="A35" t="n">
        <v>2022</v>
      </c>
      <c r="B35" t="inlineStr">
        <is>
          <t>Penal</t>
        </is>
      </c>
      <c r="C35" s="1" t="n">
        <v>25402</v>
      </c>
      <c r="D35" s="1" t="n">
        <v>36592</v>
      </c>
      <c r="E35" s="1" t="n">
        <v>20372</v>
      </c>
    </row>
    <row r="36">
      <c r="A36" t="n">
        <v>2023</v>
      </c>
      <c r="B36" t="inlineStr">
        <is>
          <t>Civil</t>
        </is>
      </c>
      <c r="C36" s="1" t="n">
        <v>12224</v>
      </c>
      <c r="D36" s="1" t="n">
        <v>18198</v>
      </c>
      <c r="E36" s="1" t="n">
        <v>10941</v>
      </c>
    </row>
    <row r="37">
      <c r="A37" t="n">
        <v>2023</v>
      </c>
      <c r="B37" t="inlineStr">
        <is>
          <t>Constitucional</t>
        </is>
      </c>
      <c r="C37" t="n">
        <v>190</v>
      </c>
      <c r="D37" t="n">
        <v>190</v>
      </c>
      <c r="E37" t="n">
        <v>77</v>
      </c>
    </row>
    <row r="38">
      <c r="A38" t="n">
        <v>2023</v>
      </c>
      <c r="B38" t="inlineStr">
        <is>
          <t>Extinción Dominio</t>
        </is>
      </c>
      <c r="C38" t="n">
        <v>41</v>
      </c>
      <c r="D38" t="n">
        <v>80</v>
      </c>
      <c r="E38" t="n">
        <v>58</v>
      </c>
    </row>
    <row r="39">
      <c r="A39" t="n">
        <v>2023</v>
      </c>
      <c r="B39" t="inlineStr">
        <is>
          <t>Familia</t>
        </is>
      </c>
      <c r="C39" s="1" t="n">
        <v>21877</v>
      </c>
      <c r="D39" s="1" t="n">
        <v>28565</v>
      </c>
      <c r="E39" s="1" t="n">
        <v>21388</v>
      </c>
    </row>
    <row r="40">
      <c r="A40" t="n">
        <v>2023</v>
      </c>
      <c r="B40" t="inlineStr">
        <is>
          <t>Laboral</t>
        </is>
      </c>
      <c r="C40" s="1" t="n">
        <v>12599</v>
      </c>
      <c r="D40" s="1" t="n">
        <v>15788</v>
      </c>
      <c r="E40" s="1" t="n">
        <v>11314</v>
      </c>
    </row>
    <row r="41">
      <c r="A41" t="n">
        <v>2023</v>
      </c>
      <c r="B41" t="inlineStr">
        <is>
          <t>Penal</t>
        </is>
      </c>
      <c r="C41" s="1" t="n">
        <v>27499</v>
      </c>
      <c r="D41" s="1" t="n">
        <v>39091</v>
      </c>
      <c r="E41" s="1" t="n">
        <v>22404</v>
      </c>
    </row>
    <row r="42">
      <c r="A42" t="n">
        <v>2024</v>
      </c>
      <c r="B42" t="inlineStr">
        <is>
          <t>Civil</t>
        </is>
      </c>
      <c r="C42" s="1" t="n">
        <v>11916</v>
      </c>
      <c r="D42" s="1" t="n">
        <v>17512</v>
      </c>
      <c r="E42" s="1" t="n">
        <v>10990</v>
      </c>
    </row>
    <row r="43">
      <c r="A43" t="n">
        <v>2024</v>
      </c>
      <c r="B43" t="inlineStr">
        <is>
          <t>Constitucional</t>
        </is>
      </c>
      <c r="C43" s="1" t="n">
        <v>1056</v>
      </c>
      <c r="D43" t="n">
        <v>1153</v>
      </c>
      <c r="E43" t="n">
        <v>914</v>
      </c>
    </row>
    <row r="44">
      <c r="A44" t="n">
        <v>2024</v>
      </c>
      <c r="B44" t="inlineStr">
        <is>
          <t>Extinción Dominio</t>
        </is>
      </c>
      <c r="C44" t="n">
        <v>27</v>
      </c>
      <c r="D44" t="n">
        <v>54</v>
      </c>
      <c r="E44" t="n">
        <v>49</v>
      </c>
    </row>
    <row r="45">
      <c r="A45" t="n">
        <v>2024</v>
      </c>
      <c r="B45" t="inlineStr">
        <is>
          <t>Familia</t>
        </is>
      </c>
      <c r="C45" s="1" t="n">
        <v>20367</v>
      </c>
      <c r="D45" s="1" t="n">
        <v>27153</v>
      </c>
      <c r="E45" s="1" t="n">
        <v>20472</v>
      </c>
    </row>
    <row r="46">
      <c r="A46" t="n">
        <v>2024</v>
      </c>
      <c r="B46" t="inlineStr">
        <is>
          <t>Laboral</t>
        </is>
      </c>
      <c r="C46" s="1" t="n">
        <v>13444</v>
      </c>
      <c r="D46" s="1" t="n">
        <v>17210</v>
      </c>
      <c r="E46" s="1" t="n">
        <v>12072</v>
      </c>
    </row>
    <row r="47">
      <c r="A47" t="n">
        <v>2024</v>
      </c>
      <c r="B47" t="inlineStr">
        <is>
          <t>Penal</t>
        </is>
      </c>
      <c r="C47" s="1" t="n">
        <v>24880</v>
      </c>
      <c r="D47" s="1" t="n">
        <v>36847</v>
      </c>
      <c r="E47" s="1" t="n">
        <v>22974</v>
      </c>
    </row>
    <row r="48">
      <c r="A48" t="n">
        <v>2025</v>
      </c>
      <c r="B48" t="inlineStr">
        <is>
          <t>Civil</t>
        </is>
      </c>
      <c r="C48" s="1" t="n">
        <v>11266</v>
      </c>
      <c r="D48" s="1" t="n">
        <v>17236</v>
      </c>
      <c r="E48" s="1" t="n">
        <v>10925</v>
      </c>
    </row>
    <row r="49">
      <c r="A49" t="n">
        <v>2025</v>
      </c>
      <c r="B49" t="inlineStr">
        <is>
          <t>Constitucional</t>
        </is>
      </c>
      <c r="C49" s="1" t="n">
        <v>1496</v>
      </c>
      <c r="D49" t="n">
        <v>1696</v>
      </c>
      <c r="E49" t="n">
        <v>1379</v>
      </c>
    </row>
    <row r="50">
      <c r="A50" t="n">
        <v>2025</v>
      </c>
      <c r="B50" t="inlineStr">
        <is>
          <t>Extinción Dominio</t>
        </is>
      </c>
      <c r="C50" t="n">
        <v>80</v>
      </c>
      <c r="D50" t="n">
        <v>110</v>
      </c>
      <c r="E50" t="n">
        <v>42</v>
      </c>
    </row>
    <row r="51">
      <c r="A51" t="n">
        <v>2025</v>
      </c>
      <c r="B51" t="inlineStr">
        <is>
          <t>Familia</t>
        </is>
      </c>
      <c r="C51" s="1" t="n">
        <v>20061</v>
      </c>
      <c r="D51" s="1" t="n">
        <v>26880</v>
      </c>
      <c r="E51" s="1" t="n">
        <v>20656</v>
      </c>
    </row>
    <row r="52">
      <c r="A52" t="n">
        <v>2025</v>
      </c>
      <c r="B52" t="inlineStr">
        <is>
          <t>Laboral</t>
        </is>
      </c>
      <c r="C52" s="1" t="n">
        <v>12321</v>
      </c>
      <c r="D52" s="1" t="n">
        <v>16504</v>
      </c>
      <c r="E52" s="1" t="n">
        <v>11673</v>
      </c>
    </row>
    <row r="53">
      <c r="A53" t="n">
        <v>2025</v>
      </c>
      <c r="B53" t="inlineStr">
        <is>
          <t>Penal</t>
        </is>
      </c>
      <c r="C53" s="1" t="n">
        <v>23495</v>
      </c>
      <c r="D53" s="1" t="n">
        <v>36023</v>
      </c>
      <c r="E53" s="1" t="n">
        <v>22097</v>
      </c>
    </row>
    <row r="54">
      <c r="A54" t="n">
        <v>2026</v>
      </c>
      <c r="B54" t="inlineStr">
        <is>
          <t>Civil</t>
        </is>
      </c>
      <c r="C54" s="1" t="n">
        <v>2609</v>
      </c>
      <c r="D54" s="1" t="n">
        <v>8500</v>
      </c>
      <c r="E54" t="n">
        <v>2103</v>
      </c>
    </row>
    <row r="55">
      <c r="A55" t="n">
        <v>2026</v>
      </c>
      <c r="B55" t="inlineStr">
        <is>
          <t>Constitucional</t>
        </is>
      </c>
      <c r="C55" t="n">
        <v>281</v>
      </c>
      <c r="D55" t="n">
        <v>555</v>
      </c>
      <c r="E55" t="n">
        <v>261</v>
      </c>
    </row>
    <row r="56">
      <c r="A56" t="n">
        <v>2026</v>
      </c>
      <c r="B56" t="inlineStr">
        <is>
          <t>Extinción Dominio</t>
        </is>
      </c>
      <c r="C56" t="n">
        <v>9</v>
      </c>
      <c r="D56" t="n">
        <v>45</v>
      </c>
      <c r="E56" t="n">
        <v>12</v>
      </c>
    </row>
    <row r="57">
      <c r="A57" t="n">
        <v>2026</v>
      </c>
      <c r="B57" t="inlineStr">
        <is>
          <t>Familia</t>
        </is>
      </c>
      <c r="C57" s="1" t="n">
        <v>5073</v>
      </c>
      <c r="D57" s="1" t="n">
        <v>10965</v>
      </c>
      <c r="E57" s="1" t="n">
        <v>4538</v>
      </c>
    </row>
    <row r="58">
      <c r="A58" t="n">
        <v>2026</v>
      </c>
      <c r="B58" t="inlineStr">
        <is>
          <t>Laboral</t>
        </is>
      </c>
      <c r="C58" s="1" t="n">
        <v>2827</v>
      </c>
      <c r="D58" s="1" t="n">
        <v>6396</v>
      </c>
      <c r="E58" t="n">
        <v>2228</v>
      </c>
    </row>
    <row r="59">
      <c r="A59" t="n">
        <v>2026</v>
      </c>
      <c r="B59" t="inlineStr">
        <is>
          <t>Penal</t>
        </is>
      </c>
      <c r="C59" s="1" t="n">
        <v>5013</v>
      </c>
      <c r="D59" s="1" t="n">
        <v>18571</v>
      </c>
      <c r="E59" s="1" t="n">
        <v>4149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Hoja2">
    <tabColor theme="9" tint="0.5999938962981048"/>
    <outlinePr summaryBelow="1" summaryRight="1"/>
    <pageSetUpPr/>
  </sheetPr>
  <dimension ref="A1:I74"/>
  <sheetViews>
    <sheetView zoomScaleNormal="100" workbookViewId="0">
      <selection activeCell="M29" sqref="M29"/>
    </sheetView>
  </sheetViews>
  <sheetFormatPr baseColWidth="10" defaultColWidth="8.7109375" defaultRowHeight="15"/>
  <cols>
    <col width="20" customWidth="1" style="2" min="1" max="1"/>
    <col width="8" customWidth="1" style="2" min="2" max="2"/>
    <col width="14" customWidth="1" style="2" min="3" max="3"/>
    <col width="12" customWidth="1" style="2" min="4" max="6"/>
    <col width="14" customWidth="1" style="2" min="7" max="8"/>
    <col width="18" customWidth="1" style="2" min="9" max="9"/>
    <col width="8.7109375" customWidth="1" style="2" min="10" max="16384"/>
  </cols>
  <sheetData>
    <row r="1" ht="21.75" customHeight="1">
      <c r="A1" s="79" t="inlineStr">
        <is>
          <t>PROYECCIONES POBLACIONALES — REGIÓN JUNÍN (INEI 2007–2031)</t>
        </is>
      </c>
    </row>
    <row r="2" ht="25.5" customHeight="1">
      <c r="A2" s="3" t="inlineStr">
        <is>
          <t>PROVINCIA</t>
        </is>
      </c>
      <c r="B2" s="3" t="inlineStr">
        <is>
          <t>AÑO</t>
        </is>
      </c>
      <c r="C2" s="3" t="inlineStr">
        <is>
          <t>TIPO_AÑO</t>
        </is>
      </c>
      <c r="D2" s="3" t="inlineStr">
        <is>
          <t>VARONES</t>
        </is>
      </c>
      <c r="E2" s="3" t="inlineStr">
        <is>
          <t>MUJERES</t>
        </is>
      </c>
      <c r="F2" s="3" t="inlineStr">
        <is>
          <t>TOTAL</t>
        </is>
      </c>
      <c r="G2" s="3" t="inlineStr">
        <is>
          <t>PCT_VARONES</t>
        </is>
      </c>
      <c r="H2" s="3" t="inlineStr">
        <is>
          <t>PCT_MUJERES</t>
        </is>
      </c>
      <c r="I2" s="3" t="inlineStr">
        <is>
          <t>TASA_CREC_ANUAL</t>
        </is>
      </c>
    </row>
    <row r="3">
      <c r="A3" s="4" t="inlineStr">
        <is>
          <t>Junín (región)</t>
        </is>
      </c>
      <c r="B3" s="5" t="n">
        <v>2007</v>
      </c>
      <c r="C3" s="5" t="inlineStr">
        <is>
          <t>Censal</t>
        </is>
      </c>
      <c r="D3" s="6" t="n">
        <v>417661</v>
      </c>
      <c r="E3" s="6" t="n">
        <v>444992</v>
      </c>
      <c r="F3" s="6" t="n">
        <v>862653</v>
      </c>
      <c r="G3" s="7">
        <f>IF(F3&gt;0,D3/F3,"")</f>
        <v/>
      </c>
      <c r="H3" s="7">
        <f>IF(F3&gt;0,E3/F3,"")</f>
        <v/>
      </c>
      <c r="I3" s="8" t="n">
        <v>0.002</v>
      </c>
    </row>
    <row r="4">
      <c r="A4" s="4" t="inlineStr">
        <is>
          <t>Junín (región)</t>
        </is>
      </c>
      <c r="B4" s="5" t="n">
        <v>2017</v>
      </c>
      <c r="C4" s="5" t="inlineStr">
        <is>
          <t>Censal</t>
        </is>
      </c>
      <c r="D4" s="6" t="n">
        <v>426024</v>
      </c>
      <c r="E4" s="6" t="n">
        <v>464540</v>
      </c>
      <c r="F4" s="6" t="n">
        <v>890564</v>
      </c>
      <c r="G4" s="7">
        <f>IF(F4&gt;0,D4/F4,"")</f>
        <v/>
      </c>
      <c r="H4" s="7">
        <f>IF(F4&gt;0,E4/F4,"")</f>
        <v/>
      </c>
      <c r="I4" s="8" t="n">
        <v>0.002</v>
      </c>
    </row>
    <row r="5">
      <c r="A5" s="4" t="inlineStr">
        <is>
          <t>Junín (región)</t>
        </is>
      </c>
      <c r="B5" s="5" t="n">
        <v>2026</v>
      </c>
      <c r="C5" s="5" t="inlineStr">
        <is>
          <t>Proyección</t>
        </is>
      </c>
      <c r="D5" s="9" t="n">
        <v>432453</v>
      </c>
      <c r="E5" s="9" t="n">
        <v>471549</v>
      </c>
      <c r="F5" s="9" t="n">
        <v>904002</v>
      </c>
      <c r="G5" s="7">
        <f>IF(F5&gt;0,D5/F5,"")</f>
        <v/>
      </c>
      <c r="H5" s="7">
        <f>IF(F5&gt;0,E5/F5,"")</f>
        <v/>
      </c>
      <c r="I5" s="8" t="n">
        <v>0.002</v>
      </c>
    </row>
    <row r="6">
      <c r="A6" s="4" t="inlineStr">
        <is>
          <t>Junín (región)</t>
        </is>
      </c>
      <c r="B6" s="5" t="n">
        <v>2027</v>
      </c>
      <c r="C6" s="5" t="inlineStr">
        <is>
          <t>Proyección</t>
        </is>
      </c>
      <c r="D6" s="9" t="n">
        <v>433174</v>
      </c>
      <c r="E6" s="9" t="n">
        <v>472334</v>
      </c>
      <c r="F6" s="9" t="n">
        <v>905508</v>
      </c>
      <c r="G6" s="7">
        <f>IF(F6&gt;0,D6/F6,"")</f>
        <v/>
      </c>
      <c r="H6" s="7">
        <f>IF(F6&gt;0,E6/F6,"")</f>
        <v/>
      </c>
      <c r="I6" s="8" t="n">
        <v>0.002</v>
      </c>
    </row>
    <row r="7">
      <c r="A7" s="4" t="inlineStr">
        <is>
          <t>Junín (región)</t>
        </is>
      </c>
      <c r="B7" s="5" t="n">
        <v>2028</v>
      </c>
      <c r="C7" s="5" t="inlineStr">
        <is>
          <t>Proyección</t>
        </is>
      </c>
      <c r="D7" s="9" t="n">
        <v>433896</v>
      </c>
      <c r="E7" s="9" t="n">
        <v>473121</v>
      </c>
      <c r="F7" s="9" t="n">
        <v>907017</v>
      </c>
      <c r="G7" s="7">
        <f>IF(F7&gt;0,D7/F7,"")</f>
        <v/>
      </c>
      <c r="H7" s="7">
        <f>IF(F7&gt;0,E7/F7,"")</f>
        <v/>
      </c>
      <c r="I7" s="8" t="n">
        <v>0.002</v>
      </c>
    </row>
    <row r="8">
      <c r="A8" s="4" t="inlineStr">
        <is>
          <t>Junín (región)</t>
        </is>
      </c>
      <c r="B8" s="5" t="n">
        <v>2029</v>
      </c>
      <c r="C8" s="5" t="inlineStr">
        <is>
          <t>Proyección</t>
        </is>
      </c>
      <c r="D8" s="9" t="n">
        <v>434619</v>
      </c>
      <c r="E8" s="9" t="n">
        <v>473909</v>
      </c>
      <c r="F8" s="9" t="n">
        <v>908528</v>
      </c>
      <c r="G8" s="7">
        <f>IF(F8&gt;0,D8/F8,"")</f>
        <v/>
      </c>
      <c r="H8" s="7">
        <f>IF(F8&gt;0,E8/F8,"")</f>
        <v/>
      </c>
      <c r="I8" s="8" t="n">
        <v>0.002</v>
      </c>
    </row>
    <row r="9">
      <c r="A9" s="4" t="inlineStr">
        <is>
          <t>Junín (región)</t>
        </is>
      </c>
      <c r="B9" s="5" t="n">
        <v>2030</v>
      </c>
      <c r="C9" s="5" t="inlineStr">
        <is>
          <t>Proyección</t>
        </is>
      </c>
      <c r="D9" s="9" t="n">
        <v>435342</v>
      </c>
      <c r="E9" s="9" t="n">
        <v>474700</v>
      </c>
      <c r="F9" s="9" t="n">
        <v>910042</v>
      </c>
      <c r="G9" s="7">
        <f>IF(F9&gt;0,D9/F9,"")</f>
        <v/>
      </c>
      <c r="H9" s="7">
        <f>IF(F9&gt;0,E9/F9,"")</f>
        <v/>
      </c>
      <c r="I9" s="8" t="n">
        <v>0.002</v>
      </c>
    </row>
    <row r="10">
      <c r="A10" s="4" t="inlineStr">
        <is>
          <t>Junín (región)</t>
        </is>
      </c>
      <c r="B10" s="5" t="n">
        <v>2031</v>
      </c>
      <c r="C10" s="5" t="inlineStr">
        <is>
          <t>Proyección</t>
        </is>
      </c>
      <c r="D10" s="9" t="n">
        <v>436068</v>
      </c>
      <c r="E10" s="9" t="n">
        <v>475491</v>
      </c>
      <c r="F10" s="9" t="n">
        <v>911559</v>
      </c>
      <c r="G10" s="7">
        <f>IF(F10&gt;0,D10/F10,"")</f>
        <v/>
      </c>
      <c r="H10" s="7">
        <f>IF(F10&gt;0,E10/F10,"")</f>
        <v/>
      </c>
      <c r="I10" s="8" t="n">
        <v>0.002</v>
      </c>
    </row>
    <row r="11">
      <c r="A11" s="10" t="inlineStr">
        <is>
          <t>Huancayo</t>
        </is>
      </c>
      <c r="B11" s="5" t="n">
        <v>2007</v>
      </c>
      <c r="C11" s="5" t="inlineStr">
        <is>
          <t>Censal</t>
        </is>
      </c>
      <c r="D11" s="6" t="n">
        <v>222808</v>
      </c>
      <c r="E11" s="6" t="n">
        <v>243538</v>
      </c>
      <c r="F11" s="6" t="n">
        <v>466346</v>
      </c>
      <c r="G11" s="7">
        <f>IF(F11&gt;0,D11/F11,"")</f>
        <v/>
      </c>
      <c r="H11" s="7">
        <f>IF(F11&gt;0,E11/F11,"")</f>
        <v/>
      </c>
      <c r="I11" s="8" t="n">
        <v>0.002</v>
      </c>
    </row>
    <row r="12">
      <c r="A12" s="10" t="inlineStr">
        <is>
          <t>Huancayo</t>
        </is>
      </c>
      <c r="B12" s="5" t="n">
        <v>2017</v>
      </c>
      <c r="C12" s="5" t="inlineStr">
        <is>
          <t>Censal</t>
        </is>
      </c>
      <c r="D12" s="6" t="n">
        <v>257473</v>
      </c>
      <c r="E12" s="6" t="n">
        <v>288142</v>
      </c>
      <c r="F12" s="6" t="n">
        <v>545615</v>
      </c>
      <c r="G12" s="7">
        <f>IF(F12&gt;0,D12/F12,"")</f>
        <v/>
      </c>
      <c r="H12" s="7">
        <f>IF(F12&gt;0,E12/F12,"")</f>
        <v/>
      </c>
      <c r="I12" s="8" t="n">
        <v>0.002</v>
      </c>
    </row>
    <row r="13">
      <c r="A13" s="10" t="inlineStr">
        <is>
          <t>Huancayo</t>
        </is>
      </c>
      <c r="B13" s="5" t="n">
        <v>2026</v>
      </c>
      <c r="C13" s="5" t="inlineStr">
        <is>
          <t>Proyección</t>
        </is>
      </c>
      <c r="D13" s="9" t="n">
        <v>261358</v>
      </c>
      <c r="E13" s="9" t="n">
        <v>292490</v>
      </c>
      <c r="F13" s="9" t="n">
        <v>553848</v>
      </c>
      <c r="G13" s="7">
        <f>IF(F13&gt;0,D13/F13,"")</f>
        <v/>
      </c>
      <c r="H13" s="7">
        <f>IF(F13&gt;0,E13/F13,"")</f>
        <v/>
      </c>
      <c r="I13" s="8" t="n">
        <v>0.002</v>
      </c>
    </row>
    <row r="14">
      <c r="A14" s="10" t="inlineStr">
        <is>
          <t>Huancayo</t>
        </is>
      </c>
      <c r="B14" s="5" t="n">
        <v>2027</v>
      </c>
      <c r="C14" s="5" t="inlineStr">
        <is>
          <t>Proyección</t>
        </is>
      </c>
      <c r="D14" s="9" t="n">
        <v>261793</v>
      </c>
      <c r="E14" s="9" t="n">
        <v>292977</v>
      </c>
      <c r="F14" s="9" t="n">
        <v>554770</v>
      </c>
      <c r="G14" s="7">
        <f>IF(F14&gt;0,D14/F14,"")</f>
        <v/>
      </c>
      <c r="H14" s="7">
        <f>IF(F14&gt;0,E14/F14,"")</f>
        <v/>
      </c>
      <c r="I14" s="8" t="n">
        <v>0.002</v>
      </c>
    </row>
    <row r="15">
      <c r="A15" s="10" t="inlineStr">
        <is>
          <t>Huancayo</t>
        </is>
      </c>
      <c r="B15" s="5" t="n">
        <v>2028</v>
      </c>
      <c r="C15" s="5" t="inlineStr">
        <is>
          <t>Proyección</t>
        </is>
      </c>
      <c r="D15" s="9" t="n">
        <v>262229</v>
      </c>
      <c r="E15" s="9" t="n">
        <v>293465</v>
      </c>
      <c r="F15" s="9" t="n">
        <v>555694</v>
      </c>
      <c r="G15" s="7">
        <f>IF(F15&gt;0,D15/F15,"")</f>
        <v/>
      </c>
      <c r="H15" s="7">
        <f>IF(F15&gt;0,E15/F15,"")</f>
        <v/>
      </c>
      <c r="I15" s="8" t="n">
        <v>0.002</v>
      </c>
    </row>
    <row r="16">
      <c r="A16" s="10" t="inlineStr">
        <is>
          <t>Huancayo</t>
        </is>
      </c>
      <c r="B16" s="5" t="n">
        <v>2029</v>
      </c>
      <c r="C16" s="5" t="inlineStr">
        <is>
          <t>Proyección</t>
        </is>
      </c>
      <c r="D16" s="9" t="n">
        <v>262666</v>
      </c>
      <c r="E16" s="9" t="n">
        <v>293954</v>
      </c>
      <c r="F16" s="9" t="n">
        <v>556620</v>
      </c>
      <c r="G16" s="7">
        <f>IF(F16&gt;0,D16/F16,"")</f>
        <v/>
      </c>
      <c r="H16" s="7">
        <f>IF(F16&gt;0,E16/F16,"")</f>
        <v/>
      </c>
      <c r="I16" s="8" t="n">
        <v>0.002</v>
      </c>
    </row>
    <row r="17">
      <c r="A17" s="10" t="inlineStr">
        <is>
          <t>Huancayo</t>
        </is>
      </c>
      <c r="B17" s="5" t="n">
        <v>2030</v>
      </c>
      <c r="C17" s="5" t="inlineStr">
        <is>
          <t>Proyección</t>
        </is>
      </c>
      <c r="D17" s="9" t="n">
        <v>263103</v>
      </c>
      <c r="E17" s="9" t="n">
        <v>294444</v>
      </c>
      <c r="F17" s="9" t="n">
        <v>557547</v>
      </c>
      <c r="G17" s="7">
        <f>IF(F17&gt;0,D17/F17,"")</f>
        <v/>
      </c>
      <c r="H17" s="7">
        <f>IF(F17&gt;0,E17/F17,"")</f>
        <v/>
      </c>
      <c r="I17" s="8" t="n">
        <v>0.002</v>
      </c>
    </row>
    <row r="18">
      <c r="A18" s="10" t="inlineStr">
        <is>
          <t>Huancayo</t>
        </is>
      </c>
      <c r="B18" s="5" t="n">
        <v>2031</v>
      </c>
      <c r="C18" s="5" t="inlineStr">
        <is>
          <t>Proyección</t>
        </is>
      </c>
      <c r="D18" s="9" t="n">
        <v>263541</v>
      </c>
      <c r="E18" s="9" t="n">
        <v>294934</v>
      </c>
      <c r="F18" s="9" t="n">
        <v>558475</v>
      </c>
      <c r="G18" s="7">
        <f>IF(F18&gt;0,D18/F18,"")</f>
        <v/>
      </c>
      <c r="H18" s="7">
        <f>IF(F18&gt;0,E18/F18,"")</f>
        <v/>
      </c>
      <c r="I18" s="8" t="n">
        <v>0.002</v>
      </c>
    </row>
    <row r="19">
      <c r="A19" s="11" t="inlineStr">
        <is>
          <t>Concepción</t>
        </is>
      </c>
      <c r="B19" s="5" t="n">
        <v>2007</v>
      </c>
      <c r="C19" s="5" t="inlineStr">
        <is>
          <t>Censal</t>
        </is>
      </c>
      <c r="D19" s="6" t="n">
        <v>29280</v>
      </c>
      <c r="E19" s="6" t="n">
        <v>30841</v>
      </c>
      <c r="F19" s="6" t="n">
        <v>60121</v>
      </c>
      <c r="G19" s="7">
        <f>IF(F19&gt;0,D19/F19,"")</f>
        <v/>
      </c>
      <c r="H19" s="7">
        <f>IF(F19&gt;0,E19/F19,"")</f>
        <v/>
      </c>
      <c r="I19" s="8" t="n">
        <v>0.002</v>
      </c>
    </row>
    <row r="20">
      <c r="A20" s="11" t="inlineStr">
        <is>
          <t>Concepción</t>
        </is>
      </c>
      <c r="B20" s="5" t="n">
        <v>2017</v>
      </c>
      <c r="C20" s="5" t="inlineStr">
        <is>
          <t>Censal</t>
        </is>
      </c>
      <c r="D20" s="6" t="n">
        <v>26423</v>
      </c>
      <c r="E20" s="6" t="n">
        <v>29168</v>
      </c>
      <c r="F20" s="6" t="n">
        <v>55591</v>
      </c>
      <c r="G20" s="7">
        <f>IF(F20&gt;0,D20/F20,"")</f>
        <v/>
      </c>
      <c r="H20" s="7">
        <f>IF(F20&gt;0,E20/F20,"")</f>
        <v/>
      </c>
      <c r="I20" s="8" t="n">
        <v>0.002</v>
      </c>
    </row>
    <row r="21">
      <c r="A21" s="11" t="inlineStr">
        <is>
          <t>Concepción</t>
        </is>
      </c>
      <c r="B21" s="5" t="n">
        <v>2026</v>
      </c>
      <c r="C21" s="5" t="inlineStr">
        <is>
          <t>Proyección</t>
        </is>
      </c>
      <c r="D21" s="9" t="n">
        <v>26822</v>
      </c>
      <c r="E21" s="9" t="n">
        <v>29608</v>
      </c>
      <c r="F21" s="9" t="n">
        <v>56430</v>
      </c>
      <c r="G21" s="7">
        <f>IF(F21&gt;0,D21/F21,"")</f>
        <v/>
      </c>
      <c r="H21" s="7">
        <f>IF(F21&gt;0,E21/F21,"")</f>
        <v/>
      </c>
      <c r="I21" s="8" t="n">
        <v>0.002</v>
      </c>
    </row>
    <row r="22">
      <c r="A22" s="11" t="inlineStr">
        <is>
          <t>Concepción</t>
        </is>
      </c>
      <c r="B22" s="5" t="n">
        <v>2027</v>
      </c>
      <c r="C22" s="5" t="inlineStr">
        <is>
          <t>Proyección</t>
        </is>
      </c>
      <c r="D22" s="9" t="n">
        <v>26867</v>
      </c>
      <c r="E22" s="9" t="n">
        <v>29657</v>
      </c>
      <c r="F22" s="9" t="n">
        <v>56524</v>
      </c>
      <c r="G22" s="7">
        <f>IF(F22&gt;0,D22/F22,"")</f>
        <v/>
      </c>
      <c r="H22" s="7">
        <f>IF(F22&gt;0,E22/F22,"")</f>
        <v/>
      </c>
      <c r="I22" s="8" t="n">
        <v>0.002</v>
      </c>
    </row>
    <row r="23">
      <c r="A23" s="11" t="inlineStr">
        <is>
          <t>Concepción</t>
        </is>
      </c>
      <c r="B23" s="5" t="n">
        <v>2028</v>
      </c>
      <c r="C23" s="5" t="inlineStr">
        <is>
          <t>Proyección</t>
        </is>
      </c>
      <c r="D23" s="9" t="n">
        <v>26912</v>
      </c>
      <c r="E23" s="9" t="n">
        <v>29706</v>
      </c>
      <c r="F23" s="9" t="n">
        <v>56618</v>
      </c>
      <c r="G23" s="7">
        <f>IF(F23&gt;0,D23/F23,"")</f>
        <v/>
      </c>
      <c r="H23" s="7">
        <f>IF(F23&gt;0,E23/F23,"")</f>
        <v/>
      </c>
      <c r="I23" s="8" t="n">
        <v>0.002</v>
      </c>
    </row>
    <row r="24">
      <c r="A24" s="11" t="inlineStr">
        <is>
          <t>Concepción</t>
        </is>
      </c>
      <c r="B24" s="5" t="n">
        <v>2029</v>
      </c>
      <c r="C24" s="5" t="inlineStr">
        <is>
          <t>Proyección</t>
        </is>
      </c>
      <c r="D24" s="9" t="n">
        <v>26957</v>
      </c>
      <c r="E24" s="9" t="n">
        <v>29755</v>
      </c>
      <c r="F24" s="9" t="n">
        <v>56712</v>
      </c>
      <c r="G24" s="7">
        <f>IF(F24&gt;0,D24/F24,"")</f>
        <v/>
      </c>
      <c r="H24" s="7">
        <f>IF(F24&gt;0,E24/F24,"")</f>
        <v/>
      </c>
      <c r="I24" s="8" t="n">
        <v>0.002</v>
      </c>
    </row>
    <row r="25">
      <c r="A25" s="11" t="inlineStr">
        <is>
          <t>Concepción</t>
        </is>
      </c>
      <c r="B25" s="5" t="n">
        <v>2030</v>
      </c>
      <c r="C25" s="5" t="inlineStr">
        <is>
          <t>Proyección</t>
        </is>
      </c>
      <c r="D25" s="9" t="n">
        <v>27002</v>
      </c>
      <c r="E25" s="9" t="n">
        <v>29805</v>
      </c>
      <c r="F25" s="9" t="n">
        <v>56807</v>
      </c>
      <c r="G25" s="7">
        <f>IF(F25&gt;0,D25/F25,"")</f>
        <v/>
      </c>
      <c r="H25" s="7">
        <f>IF(F25&gt;0,E25/F25,"")</f>
        <v/>
      </c>
      <c r="I25" s="8" t="n">
        <v>0.002</v>
      </c>
    </row>
    <row r="26">
      <c r="A26" s="11" t="inlineStr">
        <is>
          <t>Concepción</t>
        </is>
      </c>
      <c r="B26" s="5" t="n">
        <v>2031</v>
      </c>
      <c r="C26" s="5" t="inlineStr">
        <is>
          <t>Proyección</t>
        </is>
      </c>
      <c r="D26" s="9" t="n">
        <v>27047</v>
      </c>
      <c r="E26" s="9" t="n">
        <v>29855</v>
      </c>
      <c r="F26" s="9" t="n">
        <v>56902</v>
      </c>
      <c r="G26" s="7">
        <f>IF(F26&gt;0,D26/F26,"")</f>
        <v/>
      </c>
      <c r="H26" s="7">
        <f>IF(F26&gt;0,E26/F26,"")</f>
        <v/>
      </c>
      <c r="I26" s="8" t="n">
        <v>0.002</v>
      </c>
    </row>
    <row r="27">
      <c r="A27" s="12" t="inlineStr">
        <is>
          <t>Jauja</t>
        </is>
      </c>
      <c r="B27" s="5" t="n">
        <v>2007</v>
      </c>
      <c r="C27" s="5" t="inlineStr">
        <is>
          <t>Censal</t>
        </is>
      </c>
      <c r="D27" s="6" t="n">
        <v>44311</v>
      </c>
      <c r="E27" s="6" t="n">
        <v>47742</v>
      </c>
      <c r="F27" s="6" t="n">
        <v>92053</v>
      </c>
      <c r="G27" s="7">
        <f>IF(F27&gt;0,D27/F27,"")</f>
        <v/>
      </c>
      <c r="H27" s="7">
        <f>IF(F27&gt;0,E27/F27,"")</f>
        <v/>
      </c>
      <c r="I27" s="8" t="n">
        <v>0.002</v>
      </c>
    </row>
    <row r="28">
      <c r="A28" s="12" t="inlineStr">
        <is>
          <t>Jauja</t>
        </is>
      </c>
      <c r="B28" s="5" t="n">
        <v>2017</v>
      </c>
      <c r="C28" s="5" t="inlineStr">
        <is>
          <t>Censal</t>
        </is>
      </c>
      <c r="D28" s="6" t="n">
        <v>39671</v>
      </c>
      <c r="E28" s="6" t="n">
        <v>43586</v>
      </c>
      <c r="F28" s="6" t="n">
        <v>83257</v>
      </c>
      <c r="G28" s="7">
        <f>IF(F28&gt;0,D28/F28,"")</f>
        <v/>
      </c>
      <c r="H28" s="7">
        <f>IF(F28&gt;0,E28/F28,"")</f>
        <v/>
      </c>
      <c r="I28" s="8" t="n">
        <v>0.002</v>
      </c>
    </row>
    <row r="29">
      <c r="A29" s="12" t="inlineStr">
        <is>
          <t>Jauja</t>
        </is>
      </c>
      <c r="B29" s="5" t="n">
        <v>2026</v>
      </c>
      <c r="C29" s="5" t="inlineStr">
        <is>
          <t>Proyección</t>
        </is>
      </c>
      <c r="D29" s="9" t="n">
        <v>40270</v>
      </c>
      <c r="E29" s="9" t="n">
        <v>44244</v>
      </c>
      <c r="F29" s="9" t="n">
        <v>84514</v>
      </c>
      <c r="G29" s="7">
        <f>IF(F29&gt;0,D29/F29,"")</f>
        <v/>
      </c>
      <c r="H29" s="7">
        <f>IF(F29&gt;0,E29/F29,"")</f>
        <v/>
      </c>
      <c r="I29" s="8" t="n">
        <v>0.002</v>
      </c>
    </row>
    <row r="30">
      <c r="A30" s="12" t="inlineStr">
        <is>
          <t>Jauja</t>
        </is>
      </c>
      <c r="B30" s="5" t="n">
        <v>2027</v>
      </c>
      <c r="C30" s="5" t="inlineStr">
        <is>
          <t>Proyección</t>
        </is>
      </c>
      <c r="D30" s="9" t="n">
        <v>40337</v>
      </c>
      <c r="E30" s="9" t="n">
        <v>44318</v>
      </c>
      <c r="F30" s="9" t="n">
        <v>84655</v>
      </c>
      <c r="G30" s="7">
        <f>IF(F30&gt;0,D30/F30,"")</f>
        <v/>
      </c>
      <c r="H30" s="7">
        <f>IF(F30&gt;0,E30/F30,"")</f>
        <v/>
      </c>
      <c r="I30" s="8" t="n">
        <v>0.002</v>
      </c>
    </row>
    <row r="31">
      <c r="A31" s="12" t="inlineStr">
        <is>
          <t>Jauja</t>
        </is>
      </c>
      <c r="B31" s="5" t="n">
        <v>2028</v>
      </c>
      <c r="C31" s="5" t="inlineStr">
        <is>
          <t>Proyección</t>
        </is>
      </c>
      <c r="D31" s="9" t="n">
        <v>40404</v>
      </c>
      <c r="E31" s="9" t="n">
        <v>44392</v>
      </c>
      <c r="F31" s="9" t="n">
        <v>84796</v>
      </c>
      <c r="G31" s="7">
        <f>IF(F31&gt;0,D31/F31,"")</f>
        <v/>
      </c>
      <c r="H31" s="7">
        <f>IF(F31&gt;0,E31/F31,"")</f>
        <v/>
      </c>
      <c r="I31" s="8" t="n">
        <v>0.002</v>
      </c>
    </row>
    <row r="32">
      <c r="A32" s="12" t="inlineStr">
        <is>
          <t>Jauja</t>
        </is>
      </c>
      <c r="B32" s="5" t="n">
        <v>2029</v>
      </c>
      <c r="C32" s="5" t="inlineStr">
        <is>
          <t>Proyección</t>
        </is>
      </c>
      <c r="D32" s="9" t="n">
        <v>40471</v>
      </c>
      <c r="E32" s="9" t="n">
        <v>44466</v>
      </c>
      <c r="F32" s="9" t="n">
        <v>84937</v>
      </c>
      <c r="G32" s="7">
        <f>IF(F32&gt;0,D32/F32,"")</f>
        <v/>
      </c>
      <c r="H32" s="7">
        <f>IF(F32&gt;0,E32/F32,"")</f>
        <v/>
      </c>
      <c r="I32" s="8" t="n">
        <v>0.002</v>
      </c>
    </row>
    <row r="33">
      <c r="A33" s="12" t="inlineStr">
        <is>
          <t>Jauja</t>
        </is>
      </c>
      <c r="B33" s="5" t="n">
        <v>2030</v>
      </c>
      <c r="C33" s="5" t="inlineStr">
        <is>
          <t>Proyección</t>
        </is>
      </c>
      <c r="D33" s="9" t="n">
        <v>40538</v>
      </c>
      <c r="E33" s="9" t="n">
        <v>44540</v>
      </c>
      <c r="F33" s="9" t="n">
        <v>85078</v>
      </c>
      <c r="G33" s="7">
        <f>IF(F33&gt;0,D33/F33,"")</f>
        <v/>
      </c>
      <c r="H33" s="7">
        <f>IF(F33&gt;0,E33/F33,"")</f>
        <v/>
      </c>
      <c r="I33" s="8" t="n">
        <v>0.002</v>
      </c>
    </row>
    <row r="34">
      <c r="A34" s="12" t="inlineStr">
        <is>
          <t>Jauja</t>
        </is>
      </c>
      <c r="B34" s="5" t="n">
        <v>2031</v>
      </c>
      <c r="C34" s="5" t="inlineStr">
        <is>
          <t>Proyección</t>
        </is>
      </c>
      <c r="D34" s="9" t="n">
        <v>40606</v>
      </c>
      <c r="E34" s="9" t="n">
        <v>44614</v>
      </c>
      <c r="F34" s="9" t="n">
        <v>85220</v>
      </c>
      <c r="G34" s="7">
        <f>IF(F34&gt;0,D34/F34,"")</f>
        <v/>
      </c>
      <c r="H34" s="7">
        <f>IF(F34&gt;0,E34/F34,"")</f>
        <v/>
      </c>
      <c r="I34" s="8" t="n">
        <v>0.002</v>
      </c>
    </row>
    <row r="35">
      <c r="A35" s="13" t="inlineStr">
        <is>
          <t>Junín (prov.)</t>
        </is>
      </c>
      <c r="B35" s="5" t="n">
        <v>2007</v>
      </c>
      <c r="C35" s="5" t="inlineStr">
        <is>
          <t>Censal</t>
        </is>
      </c>
      <c r="D35" s="6" t="n">
        <v>14594</v>
      </c>
      <c r="E35" s="6" t="n">
        <v>15593</v>
      </c>
      <c r="F35" s="6" t="n">
        <v>30187</v>
      </c>
      <c r="G35" s="7">
        <f>IF(F35&gt;0,D35/F35,"")</f>
        <v/>
      </c>
      <c r="H35" s="7">
        <f>IF(F35&gt;0,E35/F35,"")</f>
        <v/>
      </c>
      <c r="I35" s="8" t="n">
        <v>0.002</v>
      </c>
    </row>
    <row r="36">
      <c r="A36" s="13" t="inlineStr">
        <is>
          <t>Junín (prov.)</t>
        </is>
      </c>
      <c r="B36" s="5" t="n">
        <v>2017</v>
      </c>
      <c r="C36" s="5" t="inlineStr">
        <is>
          <t>Censal</t>
        </is>
      </c>
      <c r="D36" s="6" t="n">
        <v>11060</v>
      </c>
      <c r="E36" s="6" t="n">
        <v>12073</v>
      </c>
      <c r="F36" s="6" t="n">
        <v>23133</v>
      </c>
      <c r="G36" s="7">
        <f>IF(F36&gt;0,D36/F36,"")</f>
        <v/>
      </c>
      <c r="H36" s="7">
        <f>IF(F36&gt;0,E36/F36,"")</f>
        <v/>
      </c>
      <c r="I36" s="8" t="n">
        <v>0.002</v>
      </c>
    </row>
    <row r="37">
      <c r="A37" s="13" t="inlineStr">
        <is>
          <t>Junín (prov.)</t>
        </is>
      </c>
      <c r="B37" s="5" t="n">
        <v>2026</v>
      </c>
      <c r="C37" s="5" t="inlineStr">
        <is>
          <t>Proyección</t>
        </is>
      </c>
      <c r="D37" s="9" t="n">
        <v>11227</v>
      </c>
      <c r="E37" s="9" t="n">
        <v>12255</v>
      </c>
      <c r="F37" s="9" t="n">
        <v>23482</v>
      </c>
      <c r="G37" s="7">
        <f>IF(F37&gt;0,D37/F37,"")</f>
        <v/>
      </c>
      <c r="H37" s="7">
        <f>IF(F37&gt;0,E37/F37,"")</f>
        <v/>
      </c>
      <c r="I37" s="8" t="n">
        <v>0.002</v>
      </c>
    </row>
    <row r="38">
      <c r="A38" s="13" t="inlineStr">
        <is>
          <t>Junín (prov.)</t>
        </is>
      </c>
      <c r="B38" s="5" t="n">
        <v>2027</v>
      </c>
      <c r="C38" s="5" t="inlineStr">
        <is>
          <t>Proyección</t>
        </is>
      </c>
      <c r="D38" s="9" t="n">
        <v>11246</v>
      </c>
      <c r="E38" s="9" t="n">
        <v>12275</v>
      </c>
      <c r="F38" s="9" t="n">
        <v>23521</v>
      </c>
      <c r="G38" s="7">
        <f>IF(F38&gt;0,D38/F38,"")</f>
        <v/>
      </c>
      <c r="H38" s="7">
        <f>IF(F38&gt;0,E38/F38,"")</f>
        <v/>
      </c>
      <c r="I38" s="8" t="n">
        <v>0.002</v>
      </c>
    </row>
    <row r="39">
      <c r="A39" s="13" t="inlineStr">
        <is>
          <t>Junín (prov.)</t>
        </is>
      </c>
      <c r="B39" s="5" t="n">
        <v>2028</v>
      </c>
      <c r="C39" s="5" t="inlineStr">
        <is>
          <t>Proyección</t>
        </is>
      </c>
      <c r="D39" s="9" t="n">
        <v>11265</v>
      </c>
      <c r="E39" s="9" t="n">
        <v>12295</v>
      </c>
      <c r="F39" s="9" t="n">
        <v>23560</v>
      </c>
      <c r="G39" s="7">
        <f>IF(F39&gt;0,D39/F39,"")</f>
        <v/>
      </c>
      <c r="H39" s="7">
        <f>IF(F39&gt;0,E39/F39,"")</f>
        <v/>
      </c>
      <c r="I39" s="8" t="n">
        <v>0.002</v>
      </c>
    </row>
    <row r="40">
      <c r="A40" s="13" t="inlineStr">
        <is>
          <t>Junín (prov.)</t>
        </is>
      </c>
      <c r="B40" s="5" t="n">
        <v>2029</v>
      </c>
      <c r="C40" s="5" t="inlineStr">
        <is>
          <t>Proyección</t>
        </is>
      </c>
      <c r="D40" s="9" t="n">
        <v>11284</v>
      </c>
      <c r="E40" s="9" t="n">
        <v>12315</v>
      </c>
      <c r="F40" s="9" t="n">
        <v>23599</v>
      </c>
      <c r="G40" s="7">
        <f>IF(F40&gt;0,D40/F40,"")</f>
        <v/>
      </c>
      <c r="H40" s="7">
        <f>IF(F40&gt;0,E40/F40,"")</f>
        <v/>
      </c>
      <c r="I40" s="8" t="n">
        <v>0.002</v>
      </c>
    </row>
    <row r="41">
      <c r="A41" s="13" t="inlineStr">
        <is>
          <t>Junín (prov.)</t>
        </is>
      </c>
      <c r="B41" s="5" t="n">
        <v>2030</v>
      </c>
      <c r="C41" s="5" t="inlineStr">
        <is>
          <t>Proyección</t>
        </is>
      </c>
      <c r="D41" s="9" t="n">
        <v>11303</v>
      </c>
      <c r="E41" s="9" t="n">
        <v>12336</v>
      </c>
      <c r="F41" s="9" t="n">
        <v>23639</v>
      </c>
      <c r="G41" s="7">
        <f>IF(F41&gt;0,D41/F41,"")</f>
        <v/>
      </c>
      <c r="H41" s="7">
        <f>IF(F41&gt;0,E41/F41,"")</f>
        <v/>
      </c>
      <c r="I41" s="8" t="n">
        <v>0.002</v>
      </c>
    </row>
    <row r="42">
      <c r="A42" s="13" t="inlineStr">
        <is>
          <t>Junín (prov.)</t>
        </is>
      </c>
      <c r="B42" s="5" t="n">
        <v>2031</v>
      </c>
      <c r="C42" s="5" t="inlineStr">
        <is>
          <t>Proyección</t>
        </is>
      </c>
      <c r="D42" s="9" t="n">
        <v>11322</v>
      </c>
      <c r="E42" s="9" t="n">
        <v>12357</v>
      </c>
      <c r="F42" s="9" t="n">
        <v>23679</v>
      </c>
      <c r="G42" s="7">
        <f>IF(F42&gt;0,D42/F42,"")</f>
        <v/>
      </c>
      <c r="H42" s="7">
        <f>IF(F42&gt;0,E42/F42,"")</f>
        <v/>
      </c>
      <c r="I42" s="8" t="n">
        <v>0.002</v>
      </c>
    </row>
    <row r="43">
      <c r="A43" s="14" t="inlineStr">
        <is>
          <t>Tarma</t>
        </is>
      </c>
      <c r="B43" s="5" t="n">
        <v>2007</v>
      </c>
      <c r="C43" s="5" t="inlineStr">
        <is>
          <t>Censal</t>
        </is>
      </c>
      <c r="D43" s="6" t="n">
        <v>55139</v>
      </c>
      <c r="E43" s="6" t="n">
        <v>57091</v>
      </c>
      <c r="F43" s="6" t="n">
        <v>112230</v>
      </c>
      <c r="G43" s="7">
        <f>IF(F43&gt;0,D43/F43,"")</f>
        <v/>
      </c>
      <c r="H43" s="7">
        <f>IF(F43&gt;0,E43/F43,"")</f>
        <v/>
      </c>
      <c r="I43" s="8" t="n">
        <v>0.002</v>
      </c>
    </row>
    <row r="44">
      <c r="A44" s="14" t="inlineStr">
        <is>
          <t>Tarma</t>
        </is>
      </c>
      <c r="B44" s="5" t="n">
        <v>2017</v>
      </c>
      <c r="C44" s="5" t="inlineStr">
        <is>
          <t>Censal</t>
        </is>
      </c>
      <c r="D44" s="6" t="n">
        <v>43199</v>
      </c>
      <c r="E44" s="6" t="n">
        <v>46391</v>
      </c>
      <c r="F44" s="6" t="n">
        <v>89590</v>
      </c>
      <c r="G44" s="7">
        <f>IF(F44&gt;0,D44/F44,"")</f>
        <v/>
      </c>
      <c r="H44" s="7">
        <f>IF(F44&gt;0,E44/F44,"")</f>
        <v/>
      </c>
      <c r="I44" s="8" t="n">
        <v>0.002</v>
      </c>
    </row>
    <row r="45">
      <c r="A45" s="14" t="inlineStr">
        <is>
          <t>Tarma</t>
        </is>
      </c>
      <c r="B45" s="5" t="n">
        <v>2026</v>
      </c>
      <c r="C45" s="5" t="inlineStr">
        <is>
          <t>Proyección</t>
        </is>
      </c>
      <c r="D45" s="9" t="n">
        <v>43851</v>
      </c>
      <c r="E45" s="9" t="n">
        <v>47091</v>
      </c>
      <c r="F45" s="9" t="n">
        <v>90942</v>
      </c>
      <c r="G45" s="7">
        <f>IF(F45&gt;0,D45/F45,"")</f>
        <v/>
      </c>
      <c r="H45" s="7">
        <f>IF(F45&gt;0,E45/F45,"")</f>
        <v/>
      </c>
      <c r="I45" s="8" t="n">
        <v>0.002</v>
      </c>
    </row>
    <row r="46">
      <c r="A46" s="14" t="inlineStr">
        <is>
          <t>Tarma</t>
        </is>
      </c>
      <c r="B46" s="5" t="n">
        <v>2027</v>
      </c>
      <c r="C46" s="5" t="inlineStr">
        <is>
          <t>Proyección</t>
        </is>
      </c>
      <c r="D46" s="9" t="n">
        <v>43924</v>
      </c>
      <c r="E46" s="9" t="n">
        <v>47169</v>
      </c>
      <c r="F46" s="9" t="n">
        <v>91093</v>
      </c>
      <c r="G46" s="7">
        <f>IF(F46&gt;0,D46/F46,"")</f>
        <v/>
      </c>
      <c r="H46" s="7">
        <f>IF(F46&gt;0,E46/F46,"")</f>
        <v/>
      </c>
      <c r="I46" s="8" t="n">
        <v>0.002</v>
      </c>
    </row>
    <row r="47">
      <c r="A47" s="14" t="inlineStr">
        <is>
          <t>Tarma</t>
        </is>
      </c>
      <c r="B47" s="5" t="n">
        <v>2028</v>
      </c>
      <c r="C47" s="5" t="inlineStr">
        <is>
          <t>Proyección</t>
        </is>
      </c>
      <c r="D47" s="9" t="n">
        <v>43997</v>
      </c>
      <c r="E47" s="9" t="n">
        <v>47248</v>
      </c>
      <c r="F47" s="9" t="n">
        <v>91245</v>
      </c>
      <c r="G47" s="7">
        <f>IF(F47&gt;0,D47/F47,"")</f>
        <v/>
      </c>
      <c r="H47" s="7">
        <f>IF(F47&gt;0,E47/F47,"")</f>
        <v/>
      </c>
      <c r="I47" s="8" t="n">
        <v>0.002</v>
      </c>
    </row>
    <row r="48">
      <c r="A48" s="14" t="inlineStr">
        <is>
          <t>Tarma</t>
        </is>
      </c>
      <c r="B48" s="5" t="n">
        <v>2029</v>
      </c>
      <c r="C48" s="5" t="inlineStr">
        <is>
          <t>Proyección</t>
        </is>
      </c>
      <c r="D48" s="9" t="n">
        <v>44070</v>
      </c>
      <c r="E48" s="9" t="n">
        <v>47327</v>
      </c>
      <c r="F48" s="9" t="n">
        <v>91397</v>
      </c>
      <c r="G48" s="7">
        <f>IF(F48&gt;0,D48/F48,"")</f>
        <v/>
      </c>
      <c r="H48" s="7">
        <f>IF(F48&gt;0,E48/F48,"")</f>
        <v/>
      </c>
      <c r="I48" s="8" t="n">
        <v>0.002</v>
      </c>
    </row>
    <row r="49">
      <c r="A49" s="14" t="inlineStr">
        <is>
          <t>Tarma</t>
        </is>
      </c>
      <c r="B49" s="5" t="n">
        <v>2030</v>
      </c>
      <c r="C49" s="5" t="inlineStr">
        <is>
          <t>Proyección</t>
        </is>
      </c>
      <c r="D49" s="9" t="n">
        <v>44143</v>
      </c>
      <c r="E49" s="9" t="n">
        <v>47406</v>
      </c>
      <c r="F49" s="9" t="n">
        <v>91549</v>
      </c>
      <c r="G49" s="7">
        <f>IF(F49&gt;0,D49/F49,"")</f>
        <v/>
      </c>
      <c r="H49" s="7">
        <f>IF(F49&gt;0,E49/F49,"")</f>
        <v/>
      </c>
      <c r="I49" s="8" t="n">
        <v>0.002</v>
      </c>
    </row>
    <row r="50">
      <c r="A50" s="14" t="inlineStr">
        <is>
          <t>Tarma</t>
        </is>
      </c>
      <c r="B50" s="5" t="n">
        <v>2031</v>
      </c>
      <c r="C50" s="5" t="inlineStr">
        <is>
          <t>Proyección</t>
        </is>
      </c>
      <c r="D50" s="9" t="n">
        <v>44217</v>
      </c>
      <c r="E50" s="9" t="n">
        <v>47485</v>
      </c>
      <c r="F50" s="9" t="n">
        <v>91702</v>
      </c>
      <c r="G50" s="7">
        <f>IF(F50&gt;0,D50/F50,"")</f>
        <v/>
      </c>
      <c r="H50" s="7">
        <f>IF(F50&gt;0,E50/F50,"")</f>
        <v/>
      </c>
      <c r="I50" s="8" t="n">
        <v>0.002</v>
      </c>
    </row>
    <row r="51">
      <c r="A51" s="15" t="inlineStr">
        <is>
          <t>Yauli</t>
        </is>
      </c>
      <c r="B51" s="5" t="n">
        <v>2007</v>
      </c>
      <c r="C51" s="5" t="inlineStr">
        <is>
          <t>Censal</t>
        </is>
      </c>
      <c r="D51" s="6" t="n">
        <v>26433</v>
      </c>
      <c r="E51" s="6" t="n">
        <v>23405</v>
      </c>
      <c r="F51" s="6" t="n">
        <v>49838</v>
      </c>
      <c r="G51" s="7">
        <f>IF(F51&gt;0,D51/F51,"")</f>
        <v/>
      </c>
      <c r="H51" s="7">
        <f>IF(F51&gt;0,E51/F51,"")</f>
        <v/>
      </c>
      <c r="I51" s="8" t="n">
        <v>0.002</v>
      </c>
    </row>
    <row r="52">
      <c r="A52" s="15" t="inlineStr">
        <is>
          <t>Yauli</t>
        </is>
      </c>
      <c r="B52" s="5" t="n">
        <v>2017</v>
      </c>
      <c r="C52" s="5" t="inlineStr">
        <is>
          <t>Censal</t>
        </is>
      </c>
      <c r="D52" s="6" t="n">
        <v>22275</v>
      </c>
      <c r="E52" s="6" t="n">
        <v>18115</v>
      </c>
      <c r="F52" s="6" t="n">
        <v>40390</v>
      </c>
      <c r="G52" s="7">
        <f>IF(F52&gt;0,D52/F52,"")</f>
        <v/>
      </c>
      <c r="H52" s="7">
        <f>IF(F52&gt;0,E52/F52,"")</f>
        <v/>
      </c>
      <c r="I52" s="8" t="n">
        <v>0.002</v>
      </c>
    </row>
    <row r="53">
      <c r="A53" s="15" t="inlineStr">
        <is>
          <t>Yauli</t>
        </is>
      </c>
      <c r="B53" s="5" t="n">
        <v>2026</v>
      </c>
      <c r="C53" s="5" t="inlineStr">
        <is>
          <t>Proyección</t>
        </is>
      </c>
      <c r="D53" s="9" t="n">
        <v>22611</v>
      </c>
      <c r="E53" s="9" t="n">
        <v>18388</v>
      </c>
      <c r="F53" s="9" t="n">
        <v>40999</v>
      </c>
      <c r="G53" s="7">
        <f>IF(F53&gt;0,D53/F53,"")</f>
        <v/>
      </c>
      <c r="H53" s="7">
        <f>IF(F53&gt;0,E53/F53,"")</f>
        <v/>
      </c>
      <c r="I53" s="8" t="n">
        <v>0.002</v>
      </c>
    </row>
    <row r="54">
      <c r="A54" s="15" t="inlineStr">
        <is>
          <t>Yauli</t>
        </is>
      </c>
      <c r="B54" s="5" t="n">
        <v>2027</v>
      </c>
      <c r="C54" s="5" t="inlineStr">
        <is>
          <t>Proyección</t>
        </is>
      </c>
      <c r="D54" s="9" t="n">
        <v>22649</v>
      </c>
      <c r="E54" s="9" t="n">
        <v>18419</v>
      </c>
      <c r="F54" s="9" t="n">
        <v>41068</v>
      </c>
      <c r="G54" s="7">
        <f>IF(F54&gt;0,D54/F54,"")</f>
        <v/>
      </c>
      <c r="H54" s="7">
        <f>IF(F54&gt;0,E54/F54,"")</f>
        <v/>
      </c>
      <c r="I54" s="8" t="n">
        <v>0.002</v>
      </c>
    </row>
    <row r="55">
      <c r="A55" s="15" t="inlineStr">
        <is>
          <t>Yauli</t>
        </is>
      </c>
      <c r="B55" s="5" t="n">
        <v>2028</v>
      </c>
      <c r="C55" s="5" t="inlineStr">
        <is>
          <t>Proyección</t>
        </is>
      </c>
      <c r="D55" s="9" t="n">
        <v>22687</v>
      </c>
      <c r="E55" s="9" t="n">
        <v>18450</v>
      </c>
      <c r="F55" s="9" t="n">
        <v>41137</v>
      </c>
      <c r="G55" s="7">
        <f>IF(F55&gt;0,D55/F55,"")</f>
        <v/>
      </c>
      <c r="H55" s="7">
        <f>IF(F55&gt;0,E55/F55,"")</f>
        <v/>
      </c>
      <c r="I55" s="8" t="n">
        <v>0.002</v>
      </c>
    </row>
    <row r="56">
      <c r="A56" s="15" t="inlineStr">
        <is>
          <t>Yauli</t>
        </is>
      </c>
      <c r="B56" s="5" t="n">
        <v>2029</v>
      </c>
      <c r="C56" s="5" t="inlineStr">
        <is>
          <t>Proyección</t>
        </is>
      </c>
      <c r="D56" s="9" t="n">
        <v>22725</v>
      </c>
      <c r="E56" s="9" t="n">
        <v>18481</v>
      </c>
      <c r="F56" s="9" t="n">
        <v>41206</v>
      </c>
      <c r="G56" s="7">
        <f>IF(F56&gt;0,D56/F56,"")</f>
        <v/>
      </c>
      <c r="H56" s="7">
        <f>IF(F56&gt;0,E56/F56,"")</f>
        <v/>
      </c>
      <c r="I56" s="8" t="n">
        <v>0.002</v>
      </c>
    </row>
    <row r="57">
      <c r="A57" s="15" t="inlineStr">
        <is>
          <t>Yauli</t>
        </is>
      </c>
      <c r="B57" s="5" t="n">
        <v>2030</v>
      </c>
      <c r="C57" s="5" t="inlineStr">
        <is>
          <t>Proyección</t>
        </is>
      </c>
      <c r="D57" s="9" t="n">
        <v>22763</v>
      </c>
      <c r="E57" s="9" t="n">
        <v>18512</v>
      </c>
      <c r="F57" s="9" t="n">
        <v>41275</v>
      </c>
      <c r="G57" s="7">
        <f>IF(F57&gt;0,D57/F57,"")</f>
        <v/>
      </c>
      <c r="H57" s="7">
        <f>IF(F57&gt;0,E57/F57,"")</f>
        <v/>
      </c>
      <c r="I57" s="8" t="n">
        <v>0.002</v>
      </c>
    </row>
    <row r="58">
      <c r="A58" s="15" t="inlineStr">
        <is>
          <t>Yauli</t>
        </is>
      </c>
      <c r="B58" s="5" t="n">
        <v>2031</v>
      </c>
      <c r="C58" s="5" t="inlineStr">
        <is>
          <t>Proyección</t>
        </is>
      </c>
      <c r="D58" s="9" t="n">
        <v>22801</v>
      </c>
      <c r="E58" s="9" t="n">
        <v>18543</v>
      </c>
      <c r="F58" s="9" t="n">
        <v>41344</v>
      </c>
      <c r="G58" s="7">
        <f>IF(F58&gt;0,D58/F58,"")</f>
        <v/>
      </c>
      <c r="H58" s="7">
        <f>IF(F58&gt;0,E58/F58,"")</f>
        <v/>
      </c>
      <c r="I58" s="8" t="n">
        <v>0.002</v>
      </c>
    </row>
    <row r="59">
      <c r="A59" s="16" t="inlineStr">
        <is>
          <t>Chupaca</t>
        </is>
      </c>
      <c r="B59" s="5" t="n">
        <v>2007</v>
      </c>
      <c r="C59" s="5" t="inlineStr">
        <is>
          <t>Censal</t>
        </is>
      </c>
      <c r="D59" s="6" t="n">
        <v>25096</v>
      </c>
      <c r="E59" s="6" t="n">
        <v>26782</v>
      </c>
      <c r="F59" s="6" t="n">
        <v>51878</v>
      </c>
      <c r="G59" s="7">
        <f>IF(F59&gt;0,D59/F59,"")</f>
        <v/>
      </c>
      <c r="H59" s="7">
        <f>IF(F59&gt;0,E59/F59,"")</f>
        <v/>
      </c>
      <c r="I59" s="8" t="n">
        <v>0.002</v>
      </c>
    </row>
    <row r="60">
      <c r="A60" s="16" t="inlineStr">
        <is>
          <t>Chupaca</t>
        </is>
      </c>
      <c r="B60" s="5" t="n">
        <v>2017</v>
      </c>
      <c r="C60" s="5" t="inlineStr">
        <is>
          <t>Censal</t>
        </is>
      </c>
      <c r="D60" s="6" t="n">
        <v>25923</v>
      </c>
      <c r="E60" s="6" t="n">
        <v>27065</v>
      </c>
      <c r="F60" s="6" t="n">
        <v>52988</v>
      </c>
      <c r="G60" s="7">
        <f>IF(F60&gt;0,D60/F60,"")</f>
        <v/>
      </c>
      <c r="H60" s="7">
        <f>IF(F60&gt;0,E60/F60,"")</f>
        <v/>
      </c>
      <c r="I60" s="8" t="n">
        <v>0.002</v>
      </c>
    </row>
    <row r="61">
      <c r="A61" s="16" t="inlineStr">
        <is>
          <t>Chupaca</t>
        </is>
      </c>
      <c r="B61" s="5" t="n">
        <v>2026</v>
      </c>
      <c r="C61" s="5" t="inlineStr">
        <is>
          <t>Proyección</t>
        </is>
      </c>
      <c r="D61" s="9" t="n">
        <v>26314</v>
      </c>
      <c r="E61" s="9" t="n">
        <v>27473</v>
      </c>
      <c r="F61" s="9" t="n">
        <v>53787</v>
      </c>
      <c r="G61" s="7">
        <f>IF(F61&gt;0,D61/F61,"")</f>
        <v/>
      </c>
      <c r="H61" s="7">
        <f>IF(F61&gt;0,E61/F61,"")</f>
        <v/>
      </c>
      <c r="I61" s="8" t="n">
        <v>0.002</v>
      </c>
    </row>
    <row r="62">
      <c r="A62" s="16" t="inlineStr">
        <is>
          <t>Chupaca</t>
        </is>
      </c>
      <c r="B62" s="5" t="n">
        <v>2027</v>
      </c>
      <c r="C62" s="5" t="inlineStr">
        <is>
          <t>Proyección</t>
        </is>
      </c>
      <c r="D62" s="9" t="n">
        <v>26358</v>
      </c>
      <c r="E62" s="9" t="n">
        <v>27519</v>
      </c>
      <c r="F62" s="9" t="n">
        <v>53877</v>
      </c>
      <c r="G62" s="7">
        <f>IF(F62&gt;0,D62/F62,"")</f>
        <v/>
      </c>
      <c r="H62" s="7">
        <f>IF(F62&gt;0,E62/F62,"")</f>
        <v/>
      </c>
      <c r="I62" s="8" t="n">
        <v>0.002</v>
      </c>
    </row>
    <row r="63">
      <c r="A63" s="16" t="inlineStr">
        <is>
          <t>Chupaca</t>
        </is>
      </c>
      <c r="B63" s="5" t="n">
        <v>2028</v>
      </c>
      <c r="C63" s="5" t="inlineStr">
        <is>
          <t>Proyección</t>
        </is>
      </c>
      <c r="D63" s="9" t="n">
        <v>26402</v>
      </c>
      <c r="E63" s="9" t="n">
        <v>27565</v>
      </c>
      <c r="F63" s="9" t="n">
        <v>53967</v>
      </c>
      <c r="G63" s="7">
        <f>IF(F63&gt;0,D63/F63,"")</f>
        <v/>
      </c>
      <c r="H63" s="7">
        <f>IF(F63&gt;0,E63/F63,"")</f>
        <v/>
      </c>
      <c r="I63" s="8" t="n">
        <v>0.002</v>
      </c>
    </row>
    <row r="64">
      <c r="A64" s="16" t="inlineStr">
        <is>
          <t>Chupaca</t>
        </is>
      </c>
      <c r="B64" s="5" t="n">
        <v>2029</v>
      </c>
      <c r="C64" s="5" t="inlineStr">
        <is>
          <t>Proyección</t>
        </is>
      </c>
      <c r="D64" s="9" t="n">
        <v>26446</v>
      </c>
      <c r="E64" s="9" t="n">
        <v>27611</v>
      </c>
      <c r="F64" s="9" t="n">
        <v>54057</v>
      </c>
      <c r="G64" s="7">
        <f>IF(F64&gt;0,D64/F64,"")</f>
        <v/>
      </c>
      <c r="H64" s="7">
        <f>IF(F64&gt;0,E64/F64,"")</f>
        <v/>
      </c>
      <c r="I64" s="8" t="n">
        <v>0.002</v>
      </c>
    </row>
    <row r="65">
      <c r="A65" s="16" t="inlineStr">
        <is>
          <t>Chupaca</t>
        </is>
      </c>
      <c r="B65" s="5" t="n">
        <v>2030</v>
      </c>
      <c r="C65" s="5" t="inlineStr">
        <is>
          <t>Proyección</t>
        </is>
      </c>
      <c r="D65" s="9" t="n">
        <v>26490</v>
      </c>
      <c r="E65" s="9" t="n">
        <v>27657</v>
      </c>
      <c r="F65" s="9" t="n">
        <v>54147</v>
      </c>
      <c r="G65" s="7">
        <f>IF(F65&gt;0,D65/F65,"")</f>
        <v/>
      </c>
      <c r="H65" s="7">
        <f>IF(F65&gt;0,E65/F65,"")</f>
        <v/>
      </c>
      <c r="I65" s="8" t="n">
        <v>0.002</v>
      </c>
    </row>
    <row r="66">
      <c r="A66" s="16" t="inlineStr">
        <is>
          <t>Chupaca</t>
        </is>
      </c>
      <c r="B66" s="5" t="n">
        <v>2031</v>
      </c>
      <c r="C66" s="5" t="inlineStr">
        <is>
          <t>Proyección</t>
        </is>
      </c>
      <c r="D66" s="9" t="n">
        <v>26534</v>
      </c>
      <c r="E66" s="9" t="n">
        <v>27703</v>
      </c>
      <c r="F66" s="9" t="n">
        <v>54237</v>
      </c>
      <c r="G66" s="7">
        <f>IF(F66&gt;0,D66/F66,"")</f>
        <v/>
      </c>
      <c r="H66" s="7">
        <f>IF(F66&gt;0,E66/F66,"")</f>
        <v/>
      </c>
      <c r="I66" s="8" t="n">
        <v>0.002</v>
      </c>
    </row>
    <row r="67">
      <c r="A67" s="17" t="inlineStr">
        <is>
          <t>Tayacaja</t>
        </is>
      </c>
      <c r="B67" s="5" t="n">
        <v>2007</v>
      </c>
      <c r="C67" s="5" t="inlineStr">
        <is>
          <t>Censal</t>
        </is>
      </c>
      <c r="D67" s="6" t="n">
        <v>52038</v>
      </c>
      <c r="E67" s="6" t="n">
        <v>52863</v>
      </c>
      <c r="F67" s="6" t="n">
        <v>104901</v>
      </c>
      <c r="G67" s="7">
        <f>IF(F67&gt;0,D67/F67,"")</f>
        <v/>
      </c>
      <c r="H67" s="7">
        <f>IF(F67&gt;0,E67/F67,"")</f>
        <v/>
      </c>
      <c r="I67" s="18" t="n">
        <v>-0.027</v>
      </c>
    </row>
    <row r="68">
      <c r="A68" s="17" t="inlineStr">
        <is>
          <t>Tayacaja</t>
        </is>
      </c>
      <c r="B68" s="5" t="n">
        <v>2017</v>
      </c>
      <c r="C68" s="5" t="inlineStr">
        <is>
          <t>Censal</t>
        </is>
      </c>
      <c r="D68" s="6" t="n">
        <v>39922</v>
      </c>
      <c r="E68" s="6" t="n">
        <v>41481</v>
      </c>
      <c r="F68" s="6" t="n">
        <v>81403</v>
      </c>
      <c r="G68" s="7">
        <f>IF(F68&gt;0,D68/F68,"")</f>
        <v/>
      </c>
      <c r="H68" s="7">
        <f>IF(F68&gt;0,E68/F68,"")</f>
        <v/>
      </c>
      <c r="I68" s="18" t="n">
        <v>-0.027</v>
      </c>
    </row>
    <row r="69">
      <c r="A69" s="17" t="inlineStr">
        <is>
          <t>Tayacaja</t>
        </is>
      </c>
      <c r="B69" s="5" t="n">
        <v>2026</v>
      </c>
      <c r="C69" s="5" t="inlineStr">
        <is>
          <t>Proyección</t>
        </is>
      </c>
      <c r="D69" s="9" t="n">
        <v>31347</v>
      </c>
      <c r="E69" s="9" t="n">
        <v>32571</v>
      </c>
      <c r="F69" s="9" t="n">
        <v>63918</v>
      </c>
      <c r="G69" s="7">
        <f>IF(F69&gt;0,D69/F69,"")</f>
        <v/>
      </c>
      <c r="H69" s="7">
        <f>IF(F69&gt;0,E69/F69,"")</f>
        <v/>
      </c>
      <c r="I69" s="18" t="n">
        <v>-0.027</v>
      </c>
    </row>
    <row r="70">
      <c r="A70" s="17" t="inlineStr">
        <is>
          <t>Tayacaja</t>
        </is>
      </c>
      <c r="B70" s="5" t="n">
        <v>2027</v>
      </c>
      <c r="C70" s="5" t="inlineStr">
        <is>
          <t>Proyección</t>
        </is>
      </c>
      <c r="D70" s="9" t="n">
        <v>30516</v>
      </c>
      <c r="E70" s="9" t="n">
        <v>31708</v>
      </c>
      <c r="F70" s="9" t="n">
        <v>62224</v>
      </c>
      <c r="G70" s="7">
        <f>IF(F70&gt;0,D70/F70,"")</f>
        <v/>
      </c>
      <c r="H70" s="7">
        <f>IF(F70&gt;0,E70/F70,"")</f>
        <v/>
      </c>
      <c r="I70" s="18" t="n">
        <v>-0.027</v>
      </c>
    </row>
    <row r="71">
      <c r="A71" s="17" t="inlineStr">
        <is>
          <t>Tayacaja</t>
        </is>
      </c>
      <c r="B71" s="5" t="n">
        <v>2028</v>
      </c>
      <c r="C71" s="5" t="inlineStr">
        <is>
          <t>Proyección</t>
        </is>
      </c>
      <c r="D71" s="9" t="n">
        <v>29707</v>
      </c>
      <c r="E71" s="9" t="n">
        <v>30867</v>
      </c>
      <c r="F71" s="9" t="n">
        <v>60574</v>
      </c>
      <c r="G71" s="7">
        <f>IF(F71&gt;0,D71/F71,"")</f>
        <v/>
      </c>
      <c r="H71" s="7">
        <f>IF(F71&gt;0,E71/F71,"")</f>
        <v/>
      </c>
      <c r="I71" s="18" t="n">
        <v>-0.027</v>
      </c>
    </row>
    <row r="72">
      <c r="A72" s="17" t="inlineStr">
        <is>
          <t>Tayacaja</t>
        </is>
      </c>
      <c r="B72" s="5" t="n">
        <v>2029</v>
      </c>
      <c r="C72" s="5" t="inlineStr">
        <is>
          <t>Proyección</t>
        </is>
      </c>
      <c r="D72" s="9" t="n">
        <v>28919</v>
      </c>
      <c r="E72" s="9" t="n">
        <v>30049</v>
      </c>
      <c r="F72" s="9" t="n">
        <v>58968</v>
      </c>
      <c r="G72" s="7">
        <f>IF(F72&gt;0,D72/F72,"")</f>
        <v/>
      </c>
      <c r="H72" s="7">
        <f>IF(F72&gt;0,E72/F72,"")</f>
        <v/>
      </c>
      <c r="I72" s="18" t="n">
        <v>-0.027</v>
      </c>
    </row>
    <row r="73">
      <c r="A73" s="17" t="inlineStr">
        <is>
          <t>Tayacaja</t>
        </is>
      </c>
      <c r="B73" s="5" t="n">
        <v>2030</v>
      </c>
      <c r="C73" s="5" t="inlineStr">
        <is>
          <t>Proyección</t>
        </is>
      </c>
      <c r="D73" s="9" t="n">
        <v>28152</v>
      </c>
      <c r="E73" s="9" t="n">
        <v>29252</v>
      </c>
      <c r="F73" s="9" t="n">
        <v>57404</v>
      </c>
      <c r="G73" s="7">
        <f>IF(F73&gt;0,D73/F73,"")</f>
        <v/>
      </c>
      <c r="H73" s="7">
        <f>IF(F73&gt;0,E73/F73,"")</f>
        <v/>
      </c>
      <c r="I73" s="18" t="n">
        <v>-0.027</v>
      </c>
    </row>
    <row r="74">
      <c r="A74" s="17" t="inlineStr">
        <is>
          <t>Tayacaja</t>
        </is>
      </c>
      <c r="B74" s="5" t="n">
        <v>2031</v>
      </c>
      <c r="C74" s="5" t="inlineStr">
        <is>
          <t>Proyección</t>
        </is>
      </c>
      <c r="D74" s="9" t="n">
        <v>27406</v>
      </c>
      <c r="E74" s="9" t="n">
        <v>28477</v>
      </c>
      <c r="F74" s="9" t="n">
        <v>55883</v>
      </c>
      <c r="G74" s="7">
        <f>IF(F74&gt;0,D74/F74,"")</f>
        <v/>
      </c>
      <c r="H74" s="7">
        <f>IF(F74&gt;0,E74/F74,"")</f>
        <v/>
      </c>
      <c r="I74" s="18" t="n">
        <v>-0.027</v>
      </c>
    </row>
  </sheetData>
  <mergeCells count="1">
    <mergeCell ref="A1:I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 codeName="Hoja3">
    <tabColor theme="9" tint="0.5999938962981048"/>
    <outlinePr summaryBelow="1" summaryRight="1"/>
    <pageSetUpPr/>
  </sheetPr>
  <dimension ref="A1:K30"/>
  <sheetViews>
    <sheetView zoomScaleNormal="100" workbookViewId="0">
      <selection activeCell="M29" sqref="M29"/>
    </sheetView>
  </sheetViews>
  <sheetFormatPr baseColWidth="10" defaultColWidth="8.7109375" defaultRowHeight="15"/>
  <cols>
    <col width="20" customWidth="1" style="2" min="1" max="1"/>
    <col width="12" customWidth="1" style="2" min="2" max="10"/>
    <col width="8.7109375" customWidth="1" style="2" min="11" max="16384"/>
  </cols>
  <sheetData>
    <row r="1" ht="21.75" customHeight="1">
      <c r="A1" s="79" t="inlineStr">
        <is>
          <t>POBLACIÓN — PIVOT VARONES / MUJERES / TOTAL POR PROVINCIA Y AÑO</t>
        </is>
      </c>
    </row>
    <row r="2" ht="15" customHeight="1">
      <c r="A2" s="80" t="inlineStr">
        <is>
          <t>PROVINCIA</t>
        </is>
      </c>
      <c r="B2" s="80" t="inlineStr">
        <is>
          <t>MÉTRICA</t>
        </is>
      </c>
      <c r="C2" s="3" t="inlineStr">
        <is>
          <t>2007</t>
        </is>
      </c>
      <c r="D2" s="3" t="inlineStr">
        <is>
          <t>2017</t>
        </is>
      </c>
      <c r="E2" s="3" t="inlineStr">
        <is>
          <t>2026</t>
        </is>
      </c>
      <c r="F2" s="3" t="inlineStr">
        <is>
          <t>2027</t>
        </is>
      </c>
      <c r="G2" s="3" t="inlineStr">
        <is>
          <t>2028</t>
        </is>
      </c>
      <c r="H2" s="3" t="inlineStr">
        <is>
          <t>2029</t>
        </is>
      </c>
      <c r="I2" s="3" t="inlineStr">
        <is>
          <t>2030</t>
        </is>
      </c>
      <c r="J2" s="3" t="inlineStr">
        <is>
          <t>2031</t>
        </is>
      </c>
    </row>
    <row r="3">
      <c r="A3" s="99" t="n"/>
      <c r="B3" s="99" t="n"/>
      <c r="C3" s="47" t="inlineStr">
        <is>
          <t>Censal</t>
        </is>
      </c>
      <c r="D3" s="47" t="inlineStr">
        <is>
          <t>Censal</t>
        </is>
      </c>
      <c r="E3" s="47" t="inlineStr">
        <is>
          <t>Proyec.</t>
        </is>
      </c>
      <c r="F3" s="47" t="inlineStr">
        <is>
          <t>Proyec.</t>
        </is>
      </c>
      <c r="G3" s="47" t="inlineStr">
        <is>
          <t>Proyec.</t>
        </is>
      </c>
      <c r="H3" s="47" t="inlineStr">
        <is>
          <t>Proyec.</t>
        </is>
      </c>
      <c r="I3" s="47" t="inlineStr">
        <is>
          <t>Proyec.</t>
        </is>
      </c>
      <c r="J3" s="47" t="inlineStr">
        <is>
          <t>Proyec.</t>
        </is>
      </c>
    </row>
    <row r="4">
      <c r="A4" s="4" t="inlineStr">
        <is>
          <t>Junín (región)</t>
        </is>
      </c>
      <c r="B4" s="48" t="inlineStr">
        <is>
          <t>Varones</t>
        </is>
      </c>
      <c r="C4" s="6" t="n">
        <v>417661</v>
      </c>
      <c r="D4" s="6" t="n">
        <v>426024</v>
      </c>
      <c r="E4" s="9" t="n">
        <v>432453</v>
      </c>
      <c r="F4" s="9" t="n">
        <v>433174</v>
      </c>
      <c r="G4" s="9" t="n">
        <v>433896</v>
      </c>
      <c r="H4" s="9" t="n">
        <v>434619</v>
      </c>
      <c r="I4" s="9" t="n">
        <v>435342</v>
      </c>
      <c r="J4" s="9" t="n">
        <v>436068</v>
      </c>
    </row>
    <row r="5">
      <c r="A5" s="4" t="n"/>
      <c r="B5" s="49" t="inlineStr">
        <is>
          <t>Mujeres</t>
        </is>
      </c>
      <c r="C5" s="6" t="n">
        <v>444992</v>
      </c>
      <c r="D5" s="6" t="n">
        <v>464540</v>
      </c>
      <c r="E5" s="9" t="n">
        <v>471549</v>
      </c>
      <c r="F5" s="9" t="n">
        <v>472334</v>
      </c>
      <c r="G5" s="9" t="n">
        <v>473121</v>
      </c>
      <c r="H5" s="9" t="n">
        <v>473909</v>
      </c>
      <c r="I5" s="9" t="n">
        <v>474700</v>
      </c>
      <c r="J5" s="9" t="n">
        <v>475491</v>
      </c>
    </row>
    <row r="6">
      <c r="A6" s="4" t="n"/>
      <c r="B6" s="50" t="inlineStr">
        <is>
          <t>Total</t>
        </is>
      </c>
      <c r="C6" s="6" t="n">
        <v>862653</v>
      </c>
      <c r="D6" s="6" t="n">
        <v>890564</v>
      </c>
      <c r="E6" s="9" t="n">
        <v>904002</v>
      </c>
      <c r="F6" s="9" t="n">
        <v>905508</v>
      </c>
      <c r="G6" s="9" t="n">
        <v>907017</v>
      </c>
      <c r="H6" s="9" t="n">
        <v>908528</v>
      </c>
      <c r="I6" s="9" t="n">
        <v>910042</v>
      </c>
      <c r="J6" s="9" t="n">
        <v>911559</v>
      </c>
    </row>
    <row r="7">
      <c r="A7" s="10" t="inlineStr">
        <is>
          <t>Huancayo</t>
        </is>
      </c>
      <c r="B7" s="48" t="inlineStr">
        <is>
          <t>Varones</t>
        </is>
      </c>
      <c r="C7" s="6" t="n">
        <v>222808</v>
      </c>
      <c r="D7" s="6" t="n">
        <v>257473</v>
      </c>
      <c r="E7" s="9" t="n">
        <v>261358</v>
      </c>
      <c r="F7" s="9" t="n">
        <v>261793</v>
      </c>
      <c r="G7" s="9" t="n">
        <v>262229</v>
      </c>
      <c r="H7" s="9" t="n">
        <v>262666</v>
      </c>
      <c r="I7" s="9" t="n">
        <v>263103</v>
      </c>
      <c r="J7" s="9" t="n">
        <v>263541</v>
      </c>
    </row>
    <row r="8">
      <c r="A8" s="10" t="n"/>
      <c r="B8" s="49" t="inlineStr">
        <is>
          <t>Mujeres</t>
        </is>
      </c>
      <c r="C8" s="6" t="n">
        <v>243538</v>
      </c>
      <c r="D8" s="6" t="n">
        <v>288142</v>
      </c>
      <c r="E8" s="9" t="n">
        <v>292490</v>
      </c>
      <c r="F8" s="9" t="n">
        <v>292977</v>
      </c>
      <c r="G8" s="9" t="n">
        <v>293465</v>
      </c>
      <c r="H8" s="9" t="n">
        <v>293954</v>
      </c>
      <c r="I8" s="9" t="n">
        <v>294444</v>
      </c>
      <c r="J8" s="9" t="n">
        <v>294934</v>
      </c>
    </row>
    <row r="9">
      <c r="A9" s="10" t="n"/>
      <c r="B9" s="50" t="inlineStr">
        <is>
          <t>Total</t>
        </is>
      </c>
      <c r="C9" s="6" t="n">
        <v>466346</v>
      </c>
      <c r="D9" s="6" t="n">
        <v>545615</v>
      </c>
      <c r="E9" s="9" t="n">
        <v>553848</v>
      </c>
      <c r="F9" s="9" t="n">
        <v>554770</v>
      </c>
      <c r="G9" s="9" t="n">
        <v>555694</v>
      </c>
      <c r="H9" s="9" t="n">
        <v>556620</v>
      </c>
      <c r="I9" s="9" t="n">
        <v>557547</v>
      </c>
      <c r="J9" s="9" t="n">
        <v>558475</v>
      </c>
    </row>
    <row r="10">
      <c r="A10" s="11" t="inlineStr">
        <is>
          <t>Concepción</t>
        </is>
      </c>
      <c r="B10" s="48" t="inlineStr">
        <is>
          <t>Varones</t>
        </is>
      </c>
      <c r="C10" s="6" t="n">
        <v>29280</v>
      </c>
      <c r="D10" s="6" t="n">
        <v>26423</v>
      </c>
      <c r="E10" s="9" t="n">
        <v>26822</v>
      </c>
      <c r="F10" s="9" t="n">
        <v>26867</v>
      </c>
      <c r="G10" s="9" t="n">
        <v>26912</v>
      </c>
      <c r="H10" s="9" t="n">
        <v>26957</v>
      </c>
      <c r="I10" s="9" t="n">
        <v>27002</v>
      </c>
      <c r="J10" s="9" t="n">
        <v>27047</v>
      </c>
    </row>
    <row r="11">
      <c r="A11" s="11" t="n"/>
      <c r="B11" s="49" t="inlineStr">
        <is>
          <t>Mujeres</t>
        </is>
      </c>
      <c r="C11" s="6" t="n">
        <v>30841</v>
      </c>
      <c r="D11" s="6" t="n">
        <v>29168</v>
      </c>
      <c r="E11" s="9" t="n">
        <v>29608</v>
      </c>
      <c r="F11" s="9" t="n">
        <v>29657</v>
      </c>
      <c r="G11" s="9" t="n">
        <v>29706</v>
      </c>
      <c r="H11" s="9" t="n">
        <v>29755</v>
      </c>
      <c r="I11" s="9" t="n">
        <v>29805</v>
      </c>
      <c r="J11" s="9" t="n">
        <v>29855</v>
      </c>
    </row>
    <row r="12">
      <c r="A12" s="11" t="n"/>
      <c r="B12" s="50" t="inlineStr">
        <is>
          <t>Total</t>
        </is>
      </c>
      <c r="C12" s="6" t="n">
        <v>60121</v>
      </c>
      <c r="D12" s="6" t="n">
        <v>55591</v>
      </c>
      <c r="E12" s="9" t="n">
        <v>56430</v>
      </c>
      <c r="F12" s="9" t="n">
        <v>56524</v>
      </c>
      <c r="G12" s="9" t="n">
        <v>56618</v>
      </c>
      <c r="H12" s="9" t="n">
        <v>56712</v>
      </c>
      <c r="I12" s="9" t="n">
        <v>56807</v>
      </c>
      <c r="J12" s="9" t="n">
        <v>56902</v>
      </c>
    </row>
    <row r="13">
      <c r="A13" s="12" t="inlineStr">
        <is>
          <t>Jauja</t>
        </is>
      </c>
      <c r="B13" s="48" t="inlineStr">
        <is>
          <t>Varones</t>
        </is>
      </c>
      <c r="C13" s="6" t="n">
        <v>44311</v>
      </c>
      <c r="D13" s="6" t="n">
        <v>39671</v>
      </c>
      <c r="E13" s="9" t="n">
        <v>40270</v>
      </c>
      <c r="F13" s="9" t="n">
        <v>40337</v>
      </c>
      <c r="G13" s="9" t="n">
        <v>40404</v>
      </c>
      <c r="H13" s="9" t="n">
        <v>40471</v>
      </c>
      <c r="I13" s="9" t="n">
        <v>40538</v>
      </c>
      <c r="J13" s="9" t="n">
        <v>40606</v>
      </c>
    </row>
    <row r="14">
      <c r="A14" s="12" t="n"/>
      <c r="B14" s="49" t="inlineStr">
        <is>
          <t>Mujeres</t>
        </is>
      </c>
      <c r="C14" s="6" t="n">
        <v>47742</v>
      </c>
      <c r="D14" s="6" t="n">
        <v>43586</v>
      </c>
      <c r="E14" s="9" t="n">
        <v>44244</v>
      </c>
      <c r="F14" s="9" t="n">
        <v>44318</v>
      </c>
      <c r="G14" s="9" t="n">
        <v>44392</v>
      </c>
      <c r="H14" s="9" t="n">
        <v>44466</v>
      </c>
      <c r="I14" s="9" t="n">
        <v>44540</v>
      </c>
      <c r="J14" s="9" t="n">
        <v>44614</v>
      </c>
    </row>
    <row r="15">
      <c r="A15" s="12" t="n"/>
      <c r="B15" s="50" t="inlineStr">
        <is>
          <t>Total</t>
        </is>
      </c>
      <c r="C15" s="6" t="n">
        <v>92053</v>
      </c>
      <c r="D15" s="6" t="n">
        <v>83257</v>
      </c>
      <c r="E15" s="9" t="n">
        <v>84514</v>
      </c>
      <c r="F15" s="9" t="n">
        <v>84655</v>
      </c>
      <c r="G15" s="9" t="n">
        <v>84796</v>
      </c>
      <c r="H15" s="9" t="n">
        <v>84937</v>
      </c>
      <c r="I15" s="9" t="n">
        <v>85078</v>
      </c>
      <c r="J15" s="9" t="n">
        <v>85220</v>
      </c>
    </row>
    <row r="16">
      <c r="A16" s="13" t="inlineStr">
        <is>
          <t>Junín (prov.)</t>
        </is>
      </c>
      <c r="B16" s="48" t="inlineStr">
        <is>
          <t>Varones</t>
        </is>
      </c>
      <c r="C16" s="6" t="n">
        <v>14594</v>
      </c>
      <c r="D16" s="6" t="n">
        <v>11060</v>
      </c>
      <c r="E16" s="9" t="n">
        <v>11227</v>
      </c>
      <c r="F16" s="9" t="n">
        <v>11246</v>
      </c>
      <c r="G16" s="9" t="n">
        <v>11265</v>
      </c>
      <c r="H16" s="9" t="n">
        <v>11284</v>
      </c>
      <c r="I16" s="9" t="n">
        <v>11303</v>
      </c>
      <c r="J16" s="9" t="n">
        <v>11322</v>
      </c>
    </row>
    <row r="17">
      <c r="A17" s="13" t="n"/>
      <c r="B17" s="49" t="inlineStr">
        <is>
          <t>Mujeres</t>
        </is>
      </c>
      <c r="C17" s="6" t="n">
        <v>15593</v>
      </c>
      <c r="D17" s="6" t="n">
        <v>12073</v>
      </c>
      <c r="E17" s="9" t="n">
        <v>12255</v>
      </c>
      <c r="F17" s="9" t="n">
        <v>12275</v>
      </c>
      <c r="G17" s="9" t="n">
        <v>12295</v>
      </c>
      <c r="H17" s="9" t="n">
        <v>12315</v>
      </c>
      <c r="I17" s="9" t="n">
        <v>12336</v>
      </c>
      <c r="J17" s="9" t="n">
        <v>12357</v>
      </c>
    </row>
    <row r="18">
      <c r="A18" s="13" t="n"/>
      <c r="B18" s="50" t="inlineStr">
        <is>
          <t>Total</t>
        </is>
      </c>
      <c r="C18" s="6" t="n">
        <v>30187</v>
      </c>
      <c r="D18" s="6" t="n">
        <v>23133</v>
      </c>
      <c r="E18" s="9" t="n">
        <v>23482</v>
      </c>
      <c r="F18" s="9" t="n">
        <v>23521</v>
      </c>
      <c r="G18" s="9" t="n">
        <v>23560</v>
      </c>
      <c r="H18" s="9" t="n">
        <v>23599</v>
      </c>
      <c r="I18" s="9" t="n">
        <v>23639</v>
      </c>
      <c r="J18" s="9" t="n">
        <v>23679</v>
      </c>
    </row>
    <row r="19">
      <c r="A19" s="14" t="inlineStr">
        <is>
          <t>Tarma</t>
        </is>
      </c>
      <c r="B19" s="48" t="inlineStr">
        <is>
          <t>Varones</t>
        </is>
      </c>
      <c r="C19" s="6" t="n">
        <v>55139</v>
      </c>
      <c r="D19" s="6" t="n">
        <v>43199</v>
      </c>
      <c r="E19" s="9" t="n">
        <v>43851</v>
      </c>
      <c r="F19" s="9" t="n">
        <v>43924</v>
      </c>
      <c r="G19" s="9" t="n">
        <v>43997</v>
      </c>
      <c r="H19" s="9" t="n">
        <v>44070</v>
      </c>
      <c r="I19" s="9" t="n">
        <v>44143</v>
      </c>
      <c r="J19" s="9" t="n">
        <v>44217</v>
      </c>
    </row>
    <row r="20">
      <c r="A20" s="14" t="n"/>
      <c r="B20" s="49" t="inlineStr">
        <is>
          <t>Mujeres</t>
        </is>
      </c>
      <c r="C20" s="6" t="n">
        <v>57091</v>
      </c>
      <c r="D20" s="6" t="n">
        <v>46391</v>
      </c>
      <c r="E20" s="9" t="n">
        <v>47091</v>
      </c>
      <c r="F20" s="9" t="n">
        <v>47169</v>
      </c>
      <c r="G20" s="9" t="n">
        <v>47248</v>
      </c>
      <c r="H20" s="9" t="n">
        <v>47327</v>
      </c>
      <c r="I20" s="9" t="n">
        <v>47406</v>
      </c>
      <c r="J20" s="9" t="n">
        <v>47485</v>
      </c>
    </row>
    <row r="21">
      <c r="A21" s="14" t="n"/>
      <c r="B21" s="50" t="inlineStr">
        <is>
          <t>Total</t>
        </is>
      </c>
      <c r="C21" s="6" t="n">
        <v>112230</v>
      </c>
      <c r="D21" s="6" t="n">
        <v>89590</v>
      </c>
      <c r="E21" s="9" t="n">
        <v>90942</v>
      </c>
      <c r="F21" s="9" t="n">
        <v>91093</v>
      </c>
      <c r="G21" s="9" t="n">
        <v>91245</v>
      </c>
      <c r="H21" s="9" t="n">
        <v>91397</v>
      </c>
      <c r="I21" s="9" t="n">
        <v>91549</v>
      </c>
      <c r="J21" s="9" t="n">
        <v>91702</v>
      </c>
    </row>
    <row r="22">
      <c r="A22" s="15" t="inlineStr">
        <is>
          <t>Yauli</t>
        </is>
      </c>
      <c r="B22" s="48" t="inlineStr">
        <is>
          <t>Varones</t>
        </is>
      </c>
      <c r="C22" s="6" t="n">
        <v>26433</v>
      </c>
      <c r="D22" s="6" t="n">
        <v>22275</v>
      </c>
      <c r="E22" s="9" t="n">
        <v>22611</v>
      </c>
      <c r="F22" s="9" t="n">
        <v>22649</v>
      </c>
      <c r="G22" s="9" t="n">
        <v>22687</v>
      </c>
      <c r="H22" s="9" t="n">
        <v>22725</v>
      </c>
      <c r="I22" s="9" t="n">
        <v>22763</v>
      </c>
      <c r="J22" s="9" t="n">
        <v>22801</v>
      </c>
    </row>
    <row r="23">
      <c r="A23" s="15" t="n"/>
      <c r="B23" s="49" t="inlineStr">
        <is>
          <t>Mujeres</t>
        </is>
      </c>
      <c r="C23" s="6" t="n">
        <v>23405</v>
      </c>
      <c r="D23" s="6" t="n">
        <v>18115</v>
      </c>
      <c r="E23" s="9" t="n">
        <v>18388</v>
      </c>
      <c r="F23" s="9" t="n">
        <v>18419</v>
      </c>
      <c r="G23" s="9" t="n">
        <v>18450</v>
      </c>
      <c r="H23" s="9" t="n">
        <v>18481</v>
      </c>
      <c r="I23" s="9" t="n">
        <v>18512</v>
      </c>
      <c r="J23" s="9" t="n">
        <v>18543</v>
      </c>
    </row>
    <row r="24">
      <c r="A24" s="15" t="n"/>
      <c r="B24" s="50" t="inlineStr">
        <is>
          <t>Total</t>
        </is>
      </c>
      <c r="C24" s="6" t="n">
        <v>49838</v>
      </c>
      <c r="D24" s="6" t="n">
        <v>40390</v>
      </c>
      <c r="E24" s="9" t="n">
        <v>40999</v>
      </c>
      <c r="F24" s="9" t="n">
        <v>41068</v>
      </c>
      <c r="G24" s="9" t="n">
        <v>41137</v>
      </c>
      <c r="H24" s="9" t="n">
        <v>41206</v>
      </c>
      <c r="I24" s="9" t="n">
        <v>41275</v>
      </c>
      <c r="J24" s="9" t="n">
        <v>41344</v>
      </c>
    </row>
    <row r="25">
      <c r="A25" s="16" t="inlineStr">
        <is>
          <t>Chupaca</t>
        </is>
      </c>
      <c r="B25" s="48" t="inlineStr">
        <is>
          <t>Varones</t>
        </is>
      </c>
      <c r="C25" s="6" t="n">
        <v>25096</v>
      </c>
      <c r="D25" s="6" t="n">
        <v>25923</v>
      </c>
      <c r="E25" s="9" t="n">
        <v>26314</v>
      </c>
      <c r="F25" s="9" t="n">
        <v>26358</v>
      </c>
      <c r="G25" s="9" t="n">
        <v>26402</v>
      </c>
      <c r="H25" s="9" t="n">
        <v>26446</v>
      </c>
      <c r="I25" s="9" t="n">
        <v>26490</v>
      </c>
      <c r="J25" s="9" t="n">
        <v>26534</v>
      </c>
    </row>
    <row r="26">
      <c r="A26" s="16" t="n"/>
      <c r="B26" s="49" t="inlineStr">
        <is>
          <t>Mujeres</t>
        </is>
      </c>
      <c r="C26" s="6" t="n">
        <v>26782</v>
      </c>
      <c r="D26" s="6" t="n">
        <v>27065</v>
      </c>
      <c r="E26" s="9" t="n">
        <v>27473</v>
      </c>
      <c r="F26" s="9" t="n">
        <v>27519</v>
      </c>
      <c r="G26" s="9" t="n">
        <v>27565</v>
      </c>
      <c r="H26" s="9" t="n">
        <v>27611</v>
      </c>
      <c r="I26" s="9" t="n">
        <v>27657</v>
      </c>
      <c r="J26" s="9" t="n">
        <v>27703</v>
      </c>
    </row>
    <row r="27">
      <c r="A27" s="16" t="n"/>
      <c r="B27" s="50" t="inlineStr">
        <is>
          <t>Total</t>
        </is>
      </c>
      <c r="C27" s="6" t="n">
        <v>51878</v>
      </c>
      <c r="D27" s="6" t="n">
        <v>52988</v>
      </c>
      <c r="E27" s="9" t="n">
        <v>53787</v>
      </c>
      <c r="F27" s="9" t="n">
        <v>53877</v>
      </c>
      <c r="G27" s="9" t="n">
        <v>53967</v>
      </c>
      <c r="H27" s="9" t="n">
        <v>54057</v>
      </c>
      <c r="I27" s="9" t="n">
        <v>54147</v>
      </c>
      <c r="J27" s="9" t="n">
        <v>54237</v>
      </c>
    </row>
    <row r="28">
      <c r="A28" s="17" t="inlineStr">
        <is>
          <t>Tayacaja</t>
        </is>
      </c>
      <c r="B28" s="48" t="inlineStr">
        <is>
          <t>Varones</t>
        </is>
      </c>
      <c r="C28" s="6" t="n">
        <v>52038</v>
      </c>
      <c r="D28" s="6" t="n">
        <v>39922</v>
      </c>
      <c r="E28" s="9" t="n">
        <v>31347</v>
      </c>
      <c r="F28" s="9" t="n">
        <v>30516</v>
      </c>
      <c r="G28" s="9" t="n">
        <v>29707</v>
      </c>
      <c r="H28" s="9" t="n">
        <v>28919</v>
      </c>
      <c r="I28" s="9" t="n">
        <v>28152</v>
      </c>
      <c r="J28" s="9" t="n">
        <v>27406</v>
      </c>
    </row>
    <row r="29">
      <c r="A29" s="17" t="n"/>
      <c r="B29" s="49" t="inlineStr">
        <is>
          <t>Mujeres</t>
        </is>
      </c>
      <c r="C29" s="6" t="n">
        <v>52863</v>
      </c>
      <c r="D29" s="6" t="n">
        <v>41481</v>
      </c>
      <c r="E29" s="9" t="n">
        <v>32571</v>
      </c>
      <c r="F29" s="9" t="n">
        <v>31708</v>
      </c>
      <c r="G29" s="9" t="n">
        <v>30867</v>
      </c>
      <c r="H29" s="9" t="n">
        <v>30049</v>
      </c>
      <c r="I29" s="9" t="n">
        <v>29252</v>
      </c>
      <c r="J29" s="9" t="n">
        <v>28477</v>
      </c>
    </row>
    <row r="30">
      <c r="A30" s="17" t="n"/>
      <c r="B30" s="50" t="inlineStr">
        <is>
          <t>Total</t>
        </is>
      </c>
      <c r="C30" s="6" t="n">
        <v>104901</v>
      </c>
      <c r="D30" s="6" t="n">
        <v>81403</v>
      </c>
      <c r="E30" s="9" t="n">
        <v>63918</v>
      </c>
      <c r="F30" s="9" t="n">
        <v>62224</v>
      </c>
      <c r="G30" s="9" t="n">
        <v>60574</v>
      </c>
      <c r="H30" s="9" t="n">
        <v>58968</v>
      </c>
      <c r="I30" s="9" t="n">
        <v>57404</v>
      </c>
      <c r="J30" s="9" t="n">
        <v>55883</v>
      </c>
    </row>
  </sheetData>
  <mergeCells count="3">
    <mergeCell ref="A1:K1"/>
    <mergeCell ref="B2:B3"/>
    <mergeCell ref="A2:A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 codeName="Hoja4">
    <tabColor theme="5" tint="0.5999938962981048"/>
    <outlinePr summaryBelow="1" summaryRight="1"/>
    <pageSetUpPr/>
  </sheetPr>
  <dimension ref="A1:N13"/>
  <sheetViews>
    <sheetView tabSelected="1" zoomScale="130" zoomScaleNormal="130" workbookViewId="0">
      <selection activeCell="E3" sqref="E3"/>
    </sheetView>
  </sheetViews>
  <sheetFormatPr baseColWidth="10" defaultColWidth="8.7109375" defaultRowHeight="15"/>
  <cols>
    <col width="16" customWidth="1" style="2" min="1" max="1"/>
    <col width="13" customWidth="1" style="2" min="2" max="9"/>
    <col width="8.7109375" customWidth="1" style="2" min="10" max="16384"/>
  </cols>
  <sheetData>
    <row r="1" ht="21.75" customHeight="1">
      <c r="A1" s="78" t="inlineStr">
        <is>
          <t>MAGISTRADOS POR PROVINCIA — RESUMEN</t>
        </is>
      </c>
    </row>
    <row r="2" ht="24" customHeight="1">
      <c r="A2" s="19" t="inlineStr">
        <is>
          <t>PROVINCIA</t>
        </is>
      </c>
      <c r="B2" s="19" t="inlineStr">
        <is>
          <t>TOTAL</t>
        </is>
      </c>
      <c r="C2" s="19" t="inlineStr">
        <is>
          <t>J. ESP</t>
        </is>
      </c>
      <c r="D2" s="19" t="inlineStr">
        <is>
          <t>JPL</t>
        </is>
      </c>
      <c r="E2" s="19" t="inlineStr">
        <is>
          <t>SALA</t>
        </is>
      </c>
      <c r="F2" s="19" t="inlineStr">
        <is>
          <t>VARONES</t>
        </is>
      </c>
      <c r="G2" s="19" t="inlineStr">
        <is>
          <t>MUJERES</t>
        </is>
      </c>
      <c r="H2" s="19" t="inlineStr">
        <is>
          <t>TITULARES</t>
        </is>
      </c>
      <c r="I2" s="19" t="inlineStr">
        <is>
          <t>SUPERN./PROV.</t>
        </is>
      </c>
    </row>
    <row r="3">
      <c r="A3" s="20" t="inlineStr">
        <is>
          <t>Huancayo</t>
        </is>
      </c>
      <c r="B3" s="77">
        <f>SUM(C3:E3)</f>
        <v/>
      </c>
      <c r="C3" s="21" t="n">
        <v>44</v>
      </c>
      <c r="D3" s="21" t="n">
        <v>11</v>
      </c>
      <c r="E3" s="23" t="n">
        <v>6</v>
      </c>
      <c r="F3" s="21" t="n">
        <v>45</v>
      </c>
      <c r="G3" s="24" t="n">
        <v>32</v>
      </c>
      <c r="H3" s="22" t="n">
        <v>20</v>
      </c>
      <c r="I3" s="23" t="n">
        <v>57</v>
      </c>
    </row>
    <row r="4">
      <c r="A4" s="25" t="inlineStr">
        <is>
          <t>Tarma</t>
        </is>
      </c>
      <c r="B4" s="77">
        <f>SUM(C4:E4)</f>
        <v/>
      </c>
      <c r="C4" s="21" t="n">
        <v>7</v>
      </c>
      <c r="D4" s="21" t="n">
        <v>2</v>
      </c>
      <c r="E4" s="23" t="n">
        <v>1</v>
      </c>
      <c r="F4" s="21" t="n">
        <v>10</v>
      </c>
      <c r="G4" s="24" t="n">
        <v>2</v>
      </c>
      <c r="H4" s="22" t="n">
        <v>6</v>
      </c>
      <c r="I4" s="23" t="n">
        <v>6</v>
      </c>
    </row>
    <row r="5">
      <c r="A5" s="26" t="inlineStr">
        <is>
          <t>Jauja</t>
        </is>
      </c>
      <c r="B5" s="77">
        <f>SUM(C5:E5)</f>
        <v/>
      </c>
      <c r="C5" s="21" t="n">
        <v>6</v>
      </c>
      <c r="D5" s="21" t="n">
        <v>1</v>
      </c>
      <c r="E5" s="27" t="n">
        <v>0</v>
      </c>
      <c r="F5" s="21" t="n">
        <v>5</v>
      </c>
      <c r="G5" s="24" t="n">
        <v>2</v>
      </c>
      <c r="H5" s="22" t="n">
        <v>5</v>
      </c>
      <c r="I5" s="23" t="n">
        <v>2</v>
      </c>
    </row>
    <row r="6">
      <c r="A6" s="28" t="inlineStr">
        <is>
          <t>Tayacaja</t>
        </is>
      </c>
      <c r="B6" s="77">
        <f>SUM(C6:E6)</f>
        <v/>
      </c>
      <c r="C6" s="21" t="n">
        <v>4</v>
      </c>
      <c r="D6" s="21" t="n">
        <v>1</v>
      </c>
      <c r="E6" s="27" t="n">
        <v>0</v>
      </c>
      <c r="F6" s="21" t="n">
        <v>5</v>
      </c>
      <c r="G6" s="24" t="n">
        <v>0</v>
      </c>
      <c r="H6" s="22" t="n">
        <v>3</v>
      </c>
      <c r="I6" s="23" t="n">
        <v>2</v>
      </c>
    </row>
    <row r="7">
      <c r="A7" s="29" t="inlineStr">
        <is>
          <t>Chupaca</t>
        </is>
      </c>
      <c r="B7" s="77">
        <f>SUM(C7:E7)</f>
        <v/>
      </c>
      <c r="C7" s="21" t="n">
        <v>3</v>
      </c>
      <c r="D7" s="21" t="n">
        <v>2</v>
      </c>
      <c r="E7" s="27" t="n">
        <v>0</v>
      </c>
      <c r="F7" s="21" t="n">
        <v>4</v>
      </c>
      <c r="G7" s="24" t="n">
        <v>1</v>
      </c>
      <c r="H7" s="22" t="n">
        <v>1</v>
      </c>
      <c r="I7" s="23" t="n">
        <v>4</v>
      </c>
    </row>
    <row r="8">
      <c r="A8" s="30" t="inlineStr">
        <is>
          <t>Concepción</t>
        </is>
      </c>
      <c r="B8" s="77">
        <f>SUM(C8:E8)</f>
        <v/>
      </c>
      <c r="C8" s="21" t="n">
        <v>3</v>
      </c>
      <c r="D8" s="21" t="n">
        <v>1</v>
      </c>
      <c r="E8" s="27" t="n">
        <v>0</v>
      </c>
      <c r="F8" s="21" t="n">
        <v>3</v>
      </c>
      <c r="G8" s="24" t="n">
        <v>1</v>
      </c>
      <c r="H8" s="22" t="n">
        <v>1</v>
      </c>
      <c r="I8" s="23" t="n">
        <v>3</v>
      </c>
    </row>
    <row r="9">
      <c r="A9" s="31" t="inlineStr">
        <is>
          <t>Yauli</t>
        </is>
      </c>
      <c r="B9" s="77">
        <f>SUM(C9:E9)</f>
        <v/>
      </c>
      <c r="C9" s="21" t="n">
        <v>3</v>
      </c>
      <c r="D9" s="21" t="n">
        <v>1</v>
      </c>
      <c r="E9" s="27" t="n">
        <v>0</v>
      </c>
      <c r="F9" s="21" t="n">
        <v>1</v>
      </c>
      <c r="G9" s="24" t="n">
        <v>3</v>
      </c>
      <c r="H9" s="22" t="n">
        <v>3</v>
      </c>
      <c r="I9" s="23" t="n">
        <v>1</v>
      </c>
    </row>
    <row r="10">
      <c r="A10" s="32" t="inlineStr">
        <is>
          <t>Junín</t>
        </is>
      </c>
      <c r="B10" s="77">
        <f>SUM(C10:E10)</f>
        <v/>
      </c>
      <c r="C10" s="21" t="n">
        <v>3</v>
      </c>
      <c r="D10" s="21" t="n">
        <v>1</v>
      </c>
      <c r="E10" s="27" t="n">
        <v>0</v>
      </c>
      <c r="F10" s="21" t="n">
        <v>4</v>
      </c>
      <c r="G10" s="24" t="n">
        <v>0</v>
      </c>
      <c r="H10" s="22" t="n">
        <v>2</v>
      </c>
      <c r="I10" s="23" t="n">
        <v>2</v>
      </c>
    </row>
    <row r="11">
      <c r="A11" s="20" t="inlineStr">
        <is>
          <t>TOTAL CSJJ</t>
        </is>
      </c>
      <c r="B11" s="33">
        <f>SUM(B3:B10)</f>
        <v/>
      </c>
      <c r="C11" s="33">
        <f>SUM(C3:C10)</f>
        <v/>
      </c>
      <c r="D11" s="33">
        <f>SUM(D3:D10)</f>
        <v/>
      </c>
      <c r="E11" s="33" t="n">
        <v>21</v>
      </c>
      <c r="F11" s="33" t="n">
        <v>77</v>
      </c>
      <c r="G11" s="33" t="n">
        <v>44</v>
      </c>
      <c r="H11" s="33" t="n">
        <v>41</v>
      </c>
      <c r="I11" s="33" t="n">
        <v>80</v>
      </c>
    </row>
    <row r="13">
      <c r="N13" s="70" t="n"/>
    </row>
  </sheetData>
  <mergeCells count="1">
    <mergeCell ref="A1:I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codeName="Hoja5">
    <tabColor theme="5" tint="0.5999938962981048"/>
    <outlinePr summaryBelow="1" summaryRight="1"/>
    <pageSetUpPr/>
  </sheetPr>
  <dimension ref="A1:L128"/>
  <sheetViews>
    <sheetView topLeftCell="A96" zoomScale="110" zoomScaleNormal="110" workbookViewId="0">
      <selection activeCell="M111" sqref="M111"/>
    </sheetView>
  </sheetViews>
  <sheetFormatPr baseColWidth="10" defaultColWidth="8.7109375" defaultRowHeight="15"/>
  <cols>
    <col width="14" customWidth="1" style="2" min="1" max="1"/>
    <col width="8" customWidth="1" style="2" min="2" max="2"/>
    <col width="24" customWidth="1" style="2" min="3" max="3"/>
    <col width="6" customWidth="1" style="2" min="4" max="4"/>
    <col width="20" customWidth="1" style="2" min="5" max="5"/>
    <col width="38" customWidth="1" style="2" min="6" max="6"/>
    <col width="8" customWidth="1" style="2" min="7" max="7"/>
    <col width="16" customWidth="1" style="2" min="8" max="8"/>
    <col width="8.7109375" customWidth="1" style="2" min="9" max="16384"/>
  </cols>
  <sheetData>
    <row r="1" ht="21.75" customHeight="1">
      <c r="A1" s="78" t="inlineStr">
        <is>
          <t>DETALLE DE ÓRGANOS JURISDICCIONALES POR PROVINCIA</t>
        </is>
      </c>
    </row>
    <row r="2">
      <c r="A2" s="19" t="inlineStr">
        <is>
          <t>PROVINCIA</t>
        </is>
      </c>
      <c r="B2" s="19" t="inlineStr">
        <is>
          <t>TIPO</t>
        </is>
      </c>
      <c r="C2" s="19" t="inlineStr">
        <is>
          <t>ESPECIALIDAD</t>
        </is>
      </c>
      <c r="D2" s="19" t="inlineStr">
        <is>
          <t>N°</t>
        </is>
      </c>
      <c r="E2" s="19" t="inlineStr">
        <is>
          <t>SEDE</t>
        </is>
      </c>
      <c r="F2" s="19" t="inlineStr">
        <is>
          <t>MAGISTRADO</t>
        </is>
      </c>
      <c r="G2" s="19" t="inlineStr">
        <is>
          <t>SEXO</t>
        </is>
      </c>
      <c r="H2" s="19" t="inlineStr">
        <is>
          <t>CONDICIÓN</t>
        </is>
      </c>
    </row>
    <row r="3" ht="18" customHeight="1">
      <c r="A3" s="84" t="inlineStr">
        <is>
          <t xml:space="preserve">  PROVINCIA DE HUANCAYO</t>
        </is>
      </c>
      <c r="B3" s="100" t="n"/>
      <c r="C3" s="100" t="n"/>
      <c r="D3" s="100" t="n"/>
      <c r="E3" s="100" t="n"/>
      <c r="F3" s="100" t="n"/>
      <c r="G3" s="100" t="n"/>
      <c r="H3" s="100" t="n"/>
    </row>
    <row r="4">
      <c r="A4" s="27" t="n"/>
      <c r="B4" s="34" t="inlineStr">
        <is>
          <t>SALA</t>
        </is>
      </c>
      <c r="C4" s="35" t="inlineStr">
        <is>
          <t>Penal Apelaciones</t>
        </is>
      </c>
      <c r="D4" s="27" t="inlineStr">
        <is>
          <t>1°</t>
        </is>
      </c>
      <c r="E4" s="35" t="inlineStr">
        <is>
          <t>Huancayo</t>
        </is>
      </c>
      <c r="F4" s="35" t="inlineStr">
        <is>
          <t>CHIPANA GUILLEN WALTER</t>
        </is>
      </c>
      <c r="G4" s="21" t="inlineStr">
        <is>
          <t>Varón</t>
        </is>
      </c>
      <c r="H4" s="22" t="inlineStr">
        <is>
          <t>Titular</t>
        </is>
      </c>
    </row>
    <row r="5">
      <c r="A5" s="71" t="n"/>
      <c r="B5" s="34" t="inlineStr">
        <is>
          <t>SALA</t>
        </is>
      </c>
      <c r="C5" s="35" t="inlineStr">
        <is>
          <t>Penal Apelaciones</t>
        </is>
      </c>
      <c r="D5" s="27" t="inlineStr">
        <is>
          <t>1°</t>
        </is>
      </c>
      <c r="E5" s="35" t="inlineStr">
        <is>
          <t>Huancayo</t>
        </is>
      </c>
      <c r="F5" s="35" t="inlineStr">
        <is>
          <t>CARRERA TUPAC YUPANQUI SUSAN LETTY</t>
        </is>
      </c>
      <c r="G5" s="21" t="inlineStr">
        <is>
          <t>Mujer</t>
        </is>
      </c>
      <c r="H5" s="22" t="inlineStr">
        <is>
          <t>Supernumerario</t>
        </is>
      </c>
    </row>
    <row r="6">
      <c r="A6" s="71" t="n"/>
      <c r="B6" s="34" t="inlineStr">
        <is>
          <t>SALA</t>
        </is>
      </c>
      <c r="C6" s="35" t="inlineStr">
        <is>
          <t>Penal Apelaciones</t>
        </is>
      </c>
      <c r="D6" s="27" t="inlineStr">
        <is>
          <t>1°</t>
        </is>
      </c>
      <c r="E6" s="35" t="inlineStr">
        <is>
          <t>Huancayo</t>
        </is>
      </c>
      <c r="F6" s="35" t="inlineStr">
        <is>
          <t>MEZA REYES ROBERTO JOHN</t>
        </is>
      </c>
      <c r="G6" s="21" t="inlineStr">
        <is>
          <t>Varón</t>
        </is>
      </c>
      <c r="H6" s="22" t="inlineStr">
        <is>
          <t>Provisional</t>
        </is>
      </c>
    </row>
    <row r="7">
      <c r="A7" s="71" t="n"/>
      <c r="B7" s="34" t="inlineStr">
        <is>
          <t>SALA</t>
        </is>
      </c>
      <c r="C7" s="35" t="inlineStr">
        <is>
          <t>Penal Apelaciones</t>
        </is>
      </c>
      <c r="D7" s="27" t="inlineStr">
        <is>
          <t>2°</t>
        </is>
      </c>
      <c r="E7" s="35" t="inlineStr">
        <is>
          <t>Huancayo</t>
        </is>
      </c>
      <c r="F7" s="35" t="inlineStr">
        <is>
          <t>CARVO CASTRO CARLOS ABRAHAM</t>
        </is>
      </c>
      <c r="G7" s="21" t="inlineStr">
        <is>
          <t>Varón</t>
        </is>
      </c>
      <c r="H7" s="22" t="inlineStr">
        <is>
          <t>Titular</t>
        </is>
      </c>
    </row>
    <row r="8">
      <c r="A8" s="71" t="n"/>
      <c r="B8" s="34" t="inlineStr">
        <is>
          <t>SALA</t>
        </is>
      </c>
      <c r="C8" s="35" t="inlineStr">
        <is>
          <t>Penal Apelaciones</t>
        </is>
      </c>
      <c r="D8" s="27" t="inlineStr">
        <is>
          <t>2°</t>
        </is>
      </c>
      <c r="E8" s="35" t="inlineStr">
        <is>
          <t>Huancayo</t>
        </is>
      </c>
      <c r="F8" s="35" t="inlineStr">
        <is>
          <t>ARIAS ALFARO MIGUEL ANGEL</t>
        </is>
      </c>
      <c r="G8" s="21" t="inlineStr">
        <is>
          <t>Varón</t>
        </is>
      </c>
      <c r="H8" s="23" t="inlineStr">
        <is>
          <t>Supernumerario</t>
        </is>
      </c>
    </row>
    <row r="9">
      <c r="A9" s="71" t="n"/>
      <c r="B9" s="34" t="inlineStr">
        <is>
          <t>SALA</t>
        </is>
      </c>
      <c r="C9" s="35" t="inlineStr">
        <is>
          <t>Penal Apelaciones</t>
        </is>
      </c>
      <c r="D9" s="27" t="inlineStr">
        <is>
          <t>2°</t>
        </is>
      </c>
      <c r="E9" s="35" t="inlineStr">
        <is>
          <t>Huancayo</t>
        </is>
      </c>
      <c r="F9" s="35" t="inlineStr">
        <is>
          <t>QUISPE CAMA OMAR ATILIO</t>
        </is>
      </c>
      <c r="G9" s="21" t="inlineStr">
        <is>
          <t>Varón</t>
        </is>
      </c>
      <c r="H9" s="22" t="inlineStr">
        <is>
          <t>Provisional</t>
        </is>
      </c>
    </row>
    <row r="10" ht="24" customHeight="1">
      <c r="A10" s="71" t="n"/>
      <c r="B10" s="36" t="inlineStr">
        <is>
          <t>SALA</t>
        </is>
      </c>
      <c r="C10" s="35" t="inlineStr">
        <is>
          <t>Penal Apel. Corrupción</t>
        </is>
      </c>
      <c r="D10" s="27" t="inlineStr">
        <is>
          <t>-</t>
        </is>
      </c>
      <c r="E10" s="35" t="inlineStr">
        <is>
          <t>Huancayo</t>
        </is>
      </c>
      <c r="F10" s="35" t="inlineStr">
        <is>
          <t>RODRIGUEZ HUAMANI CRISTOBAL EDUARDO</t>
        </is>
      </c>
      <c r="G10" s="21" t="inlineStr">
        <is>
          <t>Varón</t>
        </is>
      </c>
      <c r="H10" s="22" t="inlineStr">
        <is>
          <t>Titular</t>
        </is>
      </c>
    </row>
    <row r="11">
      <c r="A11" s="71" t="n"/>
      <c r="B11" s="36" t="inlineStr">
        <is>
          <t>SALA</t>
        </is>
      </c>
      <c r="C11" s="35" t="inlineStr">
        <is>
          <t>Penal Apel. Corrupción</t>
        </is>
      </c>
      <c r="D11" s="27" t="inlineStr">
        <is>
          <t>-</t>
        </is>
      </c>
      <c r="E11" s="35" t="inlineStr">
        <is>
          <t>Huancayo</t>
        </is>
      </c>
      <c r="F11" s="35" t="inlineStr">
        <is>
          <t>TAMBINI VIVAS LILLIAM ROSALIA</t>
        </is>
      </c>
      <c r="G11" s="21" t="inlineStr">
        <is>
          <t>Mujer</t>
        </is>
      </c>
      <c r="H11" s="22" t="inlineStr">
        <is>
          <t>Supernumerario</t>
        </is>
      </c>
    </row>
    <row r="12">
      <c r="A12" s="71" t="n"/>
      <c r="B12" s="36" t="inlineStr">
        <is>
          <t>SALA</t>
        </is>
      </c>
      <c r="C12" s="35" t="inlineStr">
        <is>
          <t>Penal Apel. Corrupción</t>
        </is>
      </c>
      <c r="D12" s="27" t="inlineStr">
        <is>
          <t>-</t>
        </is>
      </c>
      <c r="E12" s="35" t="inlineStr">
        <is>
          <t>Huancayo</t>
        </is>
      </c>
      <c r="F12" s="35" t="inlineStr">
        <is>
          <t>MACHUCA URBINA DANIEL</t>
        </is>
      </c>
      <c r="G12" s="24" t="inlineStr">
        <is>
          <t>Varón</t>
        </is>
      </c>
      <c r="H12" s="22" t="inlineStr">
        <is>
          <t>Provisional</t>
        </is>
      </c>
    </row>
    <row r="13">
      <c r="A13" s="71" t="n"/>
      <c r="B13" s="36" t="inlineStr">
        <is>
          <t>SALA</t>
        </is>
      </c>
      <c r="C13" s="35" t="inlineStr">
        <is>
          <t>Civil</t>
        </is>
      </c>
      <c r="D13" s="27" t="inlineStr">
        <is>
          <t>-</t>
        </is>
      </c>
      <c r="E13" s="35" t="inlineStr">
        <is>
          <t>Huancayo</t>
        </is>
      </c>
      <c r="F13" s="35" t="inlineStr">
        <is>
          <t>ORIHUELA ABREGU ALEXANDER</t>
        </is>
      </c>
      <c r="G13" s="21" t="inlineStr">
        <is>
          <t>Varón</t>
        </is>
      </c>
      <c r="H13" s="37" t="inlineStr">
        <is>
          <t>Titular</t>
        </is>
      </c>
    </row>
    <row r="14">
      <c r="A14" s="71" t="n"/>
      <c r="B14" s="36" t="inlineStr">
        <is>
          <t>SALA</t>
        </is>
      </c>
      <c r="C14" s="35" t="inlineStr">
        <is>
          <t>Civil</t>
        </is>
      </c>
      <c r="D14" s="27" t="inlineStr">
        <is>
          <t>-</t>
        </is>
      </c>
      <c r="E14" s="35" t="inlineStr">
        <is>
          <t>Huancayo</t>
        </is>
      </c>
      <c r="F14" s="35" t="inlineStr">
        <is>
          <t>CARDENAS VILLEGAS MIRIAM LUZ</t>
        </is>
      </c>
      <c r="G14" s="21" t="inlineStr">
        <is>
          <t>Mujer</t>
        </is>
      </c>
      <c r="H14" s="37" t="inlineStr">
        <is>
          <t>Supernumerario</t>
        </is>
      </c>
    </row>
    <row r="15">
      <c r="A15" s="71" t="n"/>
      <c r="B15" s="36" t="inlineStr">
        <is>
          <t>SALA</t>
        </is>
      </c>
      <c r="C15" s="35" t="inlineStr">
        <is>
          <t>Civil</t>
        </is>
      </c>
      <c r="D15" s="27" t="inlineStr">
        <is>
          <t>-</t>
        </is>
      </c>
      <c r="E15" s="35" t="inlineStr">
        <is>
          <t>Huancayo</t>
        </is>
      </c>
      <c r="F15" s="35" t="inlineStr">
        <is>
          <t>CARDENAS PUENTE TERESA</t>
        </is>
      </c>
      <c r="G15" s="21" t="inlineStr">
        <is>
          <t>Mujer</t>
        </is>
      </c>
      <c r="H15" s="37" t="inlineStr">
        <is>
          <t>Provisional</t>
        </is>
      </c>
    </row>
    <row r="16">
      <c r="A16" s="71" t="n"/>
      <c r="B16" s="36" t="inlineStr">
        <is>
          <t>SALA</t>
        </is>
      </c>
      <c r="C16" s="35" t="inlineStr">
        <is>
          <t>Laboral</t>
        </is>
      </c>
      <c r="D16" s="27" t="inlineStr">
        <is>
          <t>1°</t>
        </is>
      </c>
      <c r="E16" s="35" t="inlineStr">
        <is>
          <t>Huancayo</t>
        </is>
      </c>
      <c r="F16" s="35" t="inlineStr">
        <is>
          <t>CRISTOVAL DE LA CRUZ TIMOTEO</t>
        </is>
      </c>
      <c r="G16" s="24" t="inlineStr">
        <is>
          <t>Varón</t>
        </is>
      </c>
      <c r="H16" s="37" t="inlineStr">
        <is>
          <t>Titular</t>
        </is>
      </c>
    </row>
    <row r="17">
      <c r="A17" s="71" t="n"/>
      <c r="B17" s="36" t="inlineStr">
        <is>
          <t>SALA</t>
        </is>
      </c>
      <c r="C17" s="35" t="inlineStr">
        <is>
          <t>Laboral</t>
        </is>
      </c>
      <c r="D17" s="27" t="inlineStr">
        <is>
          <t>1°</t>
        </is>
      </c>
      <c r="E17" s="35" t="inlineStr">
        <is>
          <t>Huancayo</t>
        </is>
      </c>
      <c r="F17" s="35" t="inlineStr">
        <is>
          <t>AVILA HUAMAN NEIL ERWIN</t>
        </is>
      </c>
      <c r="G17" s="24" t="inlineStr">
        <is>
          <t>Varón</t>
        </is>
      </c>
      <c r="H17" s="37" t="inlineStr">
        <is>
          <t>Supernumerario</t>
        </is>
      </c>
    </row>
    <row r="18">
      <c r="A18" s="71" t="n"/>
      <c r="B18" s="36" t="inlineStr">
        <is>
          <t>SALA</t>
        </is>
      </c>
      <c r="C18" s="35" t="inlineStr">
        <is>
          <t>Laboral</t>
        </is>
      </c>
      <c r="D18" s="27" t="inlineStr">
        <is>
          <t>1°</t>
        </is>
      </c>
      <c r="E18" s="35" t="inlineStr">
        <is>
          <t>Huancayo</t>
        </is>
      </c>
      <c r="F18" s="35" t="inlineStr">
        <is>
          <t>URIOL ASTO EDUARDO ANSELMO</t>
        </is>
      </c>
      <c r="G18" s="24" t="inlineStr">
        <is>
          <t>Varón</t>
        </is>
      </c>
      <c r="H18" s="23" t="inlineStr">
        <is>
          <t>Provisional</t>
        </is>
      </c>
    </row>
    <row r="19">
      <c r="A19" s="71" t="n"/>
      <c r="B19" s="36" t="inlineStr">
        <is>
          <t>SALA</t>
        </is>
      </c>
      <c r="C19" s="35" t="inlineStr">
        <is>
          <t>Laboral</t>
        </is>
      </c>
      <c r="D19" s="27" t="inlineStr">
        <is>
          <t>2°</t>
        </is>
      </c>
      <c r="E19" s="35" t="inlineStr">
        <is>
          <t>Huancayo</t>
        </is>
      </c>
      <c r="F19" s="35" t="inlineStr">
        <is>
          <t>QUISPE PARICAHUA CLETO MARCIAL</t>
        </is>
      </c>
      <c r="G19" s="21" t="inlineStr">
        <is>
          <t>Varón</t>
        </is>
      </c>
      <c r="H19" s="37" t="inlineStr">
        <is>
          <t>Titular</t>
        </is>
      </c>
    </row>
    <row r="20">
      <c r="A20" s="27" t="n"/>
      <c r="B20" s="36" t="inlineStr">
        <is>
          <t>SALA</t>
        </is>
      </c>
      <c r="C20" s="35" t="inlineStr">
        <is>
          <t>Laboral</t>
        </is>
      </c>
      <c r="D20" s="27" t="inlineStr">
        <is>
          <t>2°</t>
        </is>
      </c>
      <c r="E20" s="35" t="inlineStr">
        <is>
          <t>Huancayo</t>
        </is>
      </c>
      <c r="F20" s="35" t="inlineStr">
        <is>
          <t>SAMANIEGO CORNELIO LUIS MIGUEL</t>
        </is>
      </c>
      <c r="G20" s="24" t="inlineStr">
        <is>
          <t>Varón</t>
        </is>
      </c>
      <c r="H20" s="23" t="inlineStr">
        <is>
          <t>Supernumerario</t>
        </is>
      </c>
    </row>
    <row r="21">
      <c r="A21" s="27" t="n"/>
      <c r="B21" s="36" t="inlineStr">
        <is>
          <t>SALA</t>
        </is>
      </c>
      <c r="C21" s="35" t="inlineStr">
        <is>
          <t>Laboral</t>
        </is>
      </c>
      <c r="D21" s="27" t="inlineStr">
        <is>
          <t>2°</t>
        </is>
      </c>
      <c r="E21" s="35" t="inlineStr">
        <is>
          <t>Huancayo</t>
        </is>
      </c>
      <c r="F21" s="35" t="inlineStr">
        <is>
          <t>CARHUANCHO MUCHA CARLOS RICHAR</t>
        </is>
      </c>
      <c r="G21" s="21" t="inlineStr">
        <is>
          <t>Varón</t>
        </is>
      </c>
      <c r="H21" s="23" t="inlineStr">
        <is>
          <t>Provisional</t>
        </is>
      </c>
    </row>
    <row r="22">
      <c r="A22" s="27" t="n"/>
      <c r="B22" s="36" t="inlineStr">
        <is>
          <t>JUP</t>
        </is>
      </c>
      <c r="C22" s="35" t="inlineStr">
        <is>
          <t>Penal Colegiado</t>
        </is>
      </c>
      <c r="D22" s="27" t="inlineStr">
        <is>
          <t>-</t>
        </is>
      </c>
      <c r="E22" s="35" t="inlineStr">
        <is>
          <t>Huancayo</t>
        </is>
      </c>
      <c r="F22" s="35" t="inlineStr">
        <is>
          <t>TEVES VALDEZ NICK</t>
        </is>
      </c>
      <c r="G22" s="21" t="inlineStr">
        <is>
          <t>Varón</t>
        </is>
      </c>
      <c r="H22" s="23" t="inlineStr">
        <is>
          <t>Titular</t>
        </is>
      </c>
    </row>
    <row r="23">
      <c r="A23" s="27" t="n"/>
      <c r="B23" s="36" t="inlineStr">
        <is>
          <t>JUP</t>
        </is>
      </c>
      <c r="C23" s="35" t="inlineStr">
        <is>
          <t>Penal Colegiado</t>
        </is>
      </c>
      <c r="D23" s="27" t="inlineStr">
        <is>
          <t>-</t>
        </is>
      </c>
      <c r="E23" s="35" t="inlineStr">
        <is>
          <t>Huancayo</t>
        </is>
      </c>
      <c r="F23" s="35" t="inlineStr">
        <is>
          <t>BALDEON SANABRIA MIGUEL JUNIOR</t>
        </is>
      </c>
      <c r="G23" s="24" t="inlineStr">
        <is>
          <t>Varón</t>
        </is>
      </c>
      <c r="H23" s="23" t="inlineStr">
        <is>
          <t>Supernumerario</t>
        </is>
      </c>
    </row>
    <row r="24">
      <c r="A24" s="27" t="n"/>
      <c r="B24" s="36" t="inlineStr">
        <is>
          <t>JUP</t>
        </is>
      </c>
      <c r="C24" s="35" t="inlineStr">
        <is>
          <t>Penal Colegiado</t>
        </is>
      </c>
      <c r="D24" s="27" t="inlineStr">
        <is>
          <t>-</t>
        </is>
      </c>
      <c r="E24" s="35" t="inlineStr">
        <is>
          <t>Huancayo</t>
        </is>
      </c>
      <c r="F24" s="35" t="inlineStr">
        <is>
          <t>MENDEZ CORNEJO CLAUDIO LUIS</t>
        </is>
      </c>
      <c r="G24" s="24" t="inlineStr">
        <is>
          <t>Varón</t>
        </is>
      </c>
      <c r="H24" s="23" t="inlineStr">
        <is>
          <t>Supernumerario</t>
        </is>
      </c>
    </row>
    <row r="25">
      <c r="A25" s="27" t="n"/>
      <c r="B25" s="36" t="inlineStr">
        <is>
          <t>JUP</t>
        </is>
      </c>
      <c r="C25" s="35" t="inlineStr">
        <is>
          <t>Penal Colegiado Trans. VCM</t>
        </is>
      </c>
      <c r="D25" s="27" t="inlineStr">
        <is>
          <t>1°</t>
        </is>
      </c>
      <c r="E25" s="35" t="inlineStr">
        <is>
          <t>Huancayo</t>
        </is>
      </c>
      <c r="F25" s="35" t="inlineStr">
        <is>
          <t>YUPANQUI PEREZ CINTHIA MILAGROS</t>
        </is>
      </c>
      <c r="G25" s="21" t="inlineStr">
        <is>
          <t>Mujer</t>
        </is>
      </c>
      <c r="H25" s="23" t="inlineStr">
        <is>
          <t>Supernumerario</t>
        </is>
      </c>
    </row>
    <row r="26">
      <c r="A26" s="27" t="n"/>
      <c r="B26" s="36" t="inlineStr">
        <is>
          <t>JUP</t>
        </is>
      </c>
      <c r="C26" s="35" t="inlineStr">
        <is>
          <t>Penal Colegiado Trans. VCM</t>
        </is>
      </c>
      <c r="D26" s="27" t="inlineStr">
        <is>
          <t>1°</t>
        </is>
      </c>
      <c r="E26" s="35" t="inlineStr">
        <is>
          <t>Huancayo</t>
        </is>
      </c>
      <c r="F26" s="35" t="inlineStr">
        <is>
          <t>ESPINOZA MILLÁN CARMEN ELIZABETH</t>
        </is>
      </c>
      <c r="G26" s="24" t="inlineStr">
        <is>
          <t>Mujer</t>
        </is>
      </c>
      <c r="H26" s="37" t="inlineStr">
        <is>
          <t>Supernumerario</t>
        </is>
      </c>
    </row>
    <row r="27">
      <c r="A27" s="27" t="n"/>
      <c r="B27" s="36" t="inlineStr">
        <is>
          <t>JUP</t>
        </is>
      </c>
      <c r="C27" s="35" t="inlineStr">
        <is>
          <t>Penal Colegiado Trans. VCM</t>
        </is>
      </c>
      <c r="D27" s="27" t="inlineStr">
        <is>
          <t>1°</t>
        </is>
      </c>
      <c r="E27" s="35" t="inlineStr">
        <is>
          <t>Huancayo</t>
        </is>
      </c>
      <c r="F27" s="35" t="inlineStr">
        <is>
          <t>MEDRANO SEDANO ELIAS MARCEL</t>
        </is>
      </c>
      <c r="G27" s="21" t="inlineStr">
        <is>
          <t>Varón</t>
        </is>
      </c>
      <c r="H27" s="22" t="inlineStr">
        <is>
          <t>Supernumerario</t>
        </is>
      </c>
    </row>
    <row r="28">
      <c r="A28" s="27" t="n"/>
      <c r="B28" s="36" t="inlineStr">
        <is>
          <t>JUP</t>
        </is>
      </c>
      <c r="C28" s="35" t="inlineStr">
        <is>
          <t>Civil</t>
        </is>
      </c>
      <c r="D28" s="27" t="inlineStr">
        <is>
          <t>1°</t>
        </is>
      </c>
      <c r="E28" s="35" t="inlineStr">
        <is>
          <t>Huancayo</t>
        </is>
      </c>
      <c r="F28" s="35" t="inlineStr">
        <is>
          <t>VICUÑA ZAMORA JESUS</t>
        </is>
      </c>
      <c r="G28" s="21" t="inlineStr">
        <is>
          <t>Varón</t>
        </is>
      </c>
      <c r="H28" s="22" t="inlineStr">
        <is>
          <t>Titular</t>
        </is>
      </c>
    </row>
    <row r="29">
      <c r="A29" s="27" t="n"/>
      <c r="B29" s="36" t="inlineStr">
        <is>
          <t>JUP</t>
        </is>
      </c>
      <c r="C29" s="35" t="inlineStr">
        <is>
          <t>Civil</t>
        </is>
      </c>
      <c r="D29" s="27" t="inlineStr">
        <is>
          <t>2°</t>
        </is>
      </c>
      <c r="E29" s="35" t="inlineStr">
        <is>
          <t>Huancayo</t>
        </is>
      </c>
      <c r="F29" s="35" t="inlineStr">
        <is>
          <t>BUSTAMANTE VERA JORGE ENRIQUE</t>
        </is>
      </c>
      <c r="G29" s="24" t="inlineStr">
        <is>
          <t>Varón</t>
        </is>
      </c>
      <c r="H29" s="37" t="inlineStr">
        <is>
          <t>Titular</t>
        </is>
      </c>
    </row>
    <row r="30">
      <c r="A30" s="27" t="n"/>
      <c r="B30" s="36" t="inlineStr">
        <is>
          <t>JUP</t>
        </is>
      </c>
      <c r="C30" s="35" t="inlineStr">
        <is>
          <t>Civil</t>
        </is>
      </c>
      <c r="D30" s="27" t="inlineStr">
        <is>
          <t>3°</t>
        </is>
      </c>
      <c r="E30" s="35" t="inlineStr">
        <is>
          <t>Huancayo</t>
        </is>
      </c>
      <c r="F30" s="35" t="inlineStr">
        <is>
          <t>ARMAS INGA ESTRELLA</t>
        </is>
      </c>
      <c r="G30" s="24" t="inlineStr">
        <is>
          <t>Mujer</t>
        </is>
      </c>
      <c r="H30" s="37" t="inlineStr">
        <is>
          <t>Titular</t>
        </is>
      </c>
    </row>
    <row r="31">
      <c r="A31" s="27" t="n"/>
      <c r="B31" s="36" t="inlineStr">
        <is>
          <t>JUP</t>
        </is>
      </c>
      <c r="C31" s="35" t="inlineStr">
        <is>
          <t>Civil</t>
        </is>
      </c>
      <c r="D31" s="27" t="inlineStr">
        <is>
          <t>4°</t>
        </is>
      </c>
      <c r="E31" s="35" t="inlineStr">
        <is>
          <t>Huancayo</t>
        </is>
      </c>
      <c r="F31" s="35" t="inlineStr">
        <is>
          <t>BELTRAN GUZMAN ERICH JOHAN</t>
        </is>
      </c>
      <c r="G31" s="21" t="inlineStr">
        <is>
          <t>Varón</t>
        </is>
      </c>
      <c r="H31" s="37" t="inlineStr">
        <is>
          <t>Supernumerario</t>
        </is>
      </c>
    </row>
    <row r="32">
      <c r="A32" s="27" t="n"/>
      <c r="B32" s="36" t="inlineStr">
        <is>
          <t>JUP</t>
        </is>
      </c>
      <c r="C32" s="35" t="inlineStr">
        <is>
          <t>Civil</t>
        </is>
      </c>
      <c r="D32" s="27" t="inlineStr">
        <is>
          <t>5°</t>
        </is>
      </c>
      <c r="E32" s="35" t="inlineStr">
        <is>
          <t>Huancayo</t>
        </is>
      </c>
      <c r="F32" s="35" t="inlineStr">
        <is>
          <t>MANTARI MOLINA MANUEL</t>
        </is>
      </c>
      <c r="G32" s="21" t="inlineStr">
        <is>
          <t>Varón</t>
        </is>
      </c>
      <c r="H32" s="22" t="inlineStr">
        <is>
          <t>Supernumerario</t>
        </is>
      </c>
    </row>
    <row r="33">
      <c r="A33" s="27" t="n"/>
      <c r="B33" s="36" t="inlineStr">
        <is>
          <t>JUP</t>
        </is>
      </c>
      <c r="C33" s="35" t="inlineStr">
        <is>
          <t>Comercial</t>
        </is>
      </c>
      <c r="D33" s="27" t="inlineStr">
        <is>
          <t>-</t>
        </is>
      </c>
      <c r="E33" s="35" t="inlineStr">
        <is>
          <t>Huancayo</t>
        </is>
      </c>
      <c r="F33" s="35" t="inlineStr">
        <is>
          <t>TORRES ALTEZ DANTE REYNALDO</t>
        </is>
      </c>
      <c r="G33" s="21" t="inlineStr">
        <is>
          <t>Varón</t>
        </is>
      </c>
      <c r="H33" s="37" t="inlineStr">
        <is>
          <t>Supernumerario</t>
        </is>
      </c>
    </row>
    <row r="34">
      <c r="A34" s="27" t="n"/>
      <c r="B34" s="36" t="inlineStr">
        <is>
          <t>JUP</t>
        </is>
      </c>
      <c r="C34" s="35" t="inlineStr">
        <is>
          <t>Constitucional</t>
        </is>
      </c>
      <c r="D34" s="27" t="inlineStr">
        <is>
          <t>-</t>
        </is>
      </c>
      <c r="E34" s="35" t="inlineStr">
        <is>
          <t>Huancayo</t>
        </is>
      </c>
      <c r="F34" s="35" t="inlineStr">
        <is>
          <t>CAJINCHO YAÑEZ DORIS</t>
        </is>
      </c>
      <c r="G34" s="21" t="inlineStr">
        <is>
          <t>Mujer</t>
        </is>
      </c>
      <c r="H34" s="22" t="inlineStr">
        <is>
          <t>Supernumerario</t>
        </is>
      </c>
    </row>
    <row r="35">
      <c r="A35" s="27" t="n"/>
      <c r="B35" s="36" t="inlineStr">
        <is>
          <t>JUP</t>
        </is>
      </c>
      <c r="C35" s="35" t="inlineStr">
        <is>
          <t>Familia</t>
        </is>
      </c>
      <c r="D35" s="27" t="inlineStr">
        <is>
          <t>1°</t>
        </is>
      </c>
      <c r="E35" s="35" t="inlineStr">
        <is>
          <t>Huancayo</t>
        </is>
      </c>
      <c r="F35" s="35" t="inlineStr">
        <is>
          <t>CORILLA BAQUERIZO JENIS AIDA</t>
        </is>
      </c>
      <c r="G35" s="24" t="inlineStr">
        <is>
          <t>Mujer</t>
        </is>
      </c>
      <c r="H35" s="37" t="inlineStr">
        <is>
          <t>Supernumerario</t>
        </is>
      </c>
    </row>
    <row r="36">
      <c r="A36" s="27" t="n"/>
      <c r="B36" s="36" t="inlineStr">
        <is>
          <t>JUP</t>
        </is>
      </c>
      <c r="C36" s="35" t="inlineStr">
        <is>
          <t>Familia</t>
        </is>
      </c>
      <c r="D36" s="27" t="inlineStr">
        <is>
          <t>2°</t>
        </is>
      </c>
      <c r="E36" s="35" t="inlineStr">
        <is>
          <t>Huancayo</t>
        </is>
      </c>
      <c r="F36" s="35" t="inlineStr">
        <is>
          <t>OLIVERA MONTERO IRMA ROSA</t>
        </is>
      </c>
      <c r="G36" s="21" t="inlineStr">
        <is>
          <t>Mujer</t>
        </is>
      </c>
      <c r="H36" s="37" t="inlineStr">
        <is>
          <t>Provisional</t>
        </is>
      </c>
    </row>
    <row r="37">
      <c r="A37" s="27" t="n"/>
      <c r="B37" s="36" t="inlineStr">
        <is>
          <t>JUP</t>
        </is>
      </c>
      <c r="C37" s="35" t="inlineStr">
        <is>
          <t>Familia</t>
        </is>
      </c>
      <c r="D37" s="27" t="inlineStr">
        <is>
          <t>3°</t>
        </is>
      </c>
      <c r="E37" s="35" t="inlineStr">
        <is>
          <t>Huancayo</t>
        </is>
      </c>
      <c r="F37" s="35" t="inlineStr">
        <is>
          <t>MONDARGO MARTINEZ NEDER ELIAS</t>
        </is>
      </c>
      <c r="G37" s="21" t="inlineStr">
        <is>
          <t>Varón</t>
        </is>
      </c>
      <c r="H37" s="22" t="inlineStr">
        <is>
          <t>Supernumerario</t>
        </is>
      </c>
    </row>
    <row r="38">
      <c r="A38" s="27" t="n"/>
      <c r="B38" s="36" t="inlineStr">
        <is>
          <t>JUP</t>
        </is>
      </c>
      <c r="C38" s="35" t="inlineStr">
        <is>
          <t>Familia</t>
        </is>
      </c>
      <c r="D38" s="27" t="inlineStr">
        <is>
          <t>4°</t>
        </is>
      </c>
      <c r="E38" s="35" t="inlineStr">
        <is>
          <t>Huancayo</t>
        </is>
      </c>
      <c r="F38" s="35" t="inlineStr">
        <is>
          <t>ALVARADO PEREZ JUANA VIRGINIA</t>
        </is>
      </c>
      <c r="G38" s="24" t="inlineStr">
        <is>
          <t>Mujer</t>
        </is>
      </c>
      <c r="H38" s="22" t="inlineStr">
        <is>
          <t>Provisional</t>
        </is>
      </c>
    </row>
    <row r="39">
      <c r="A39" s="27" t="n"/>
      <c r="B39" s="36" t="inlineStr">
        <is>
          <t>JUP</t>
        </is>
      </c>
      <c r="C39" s="35" t="inlineStr">
        <is>
          <t>Familia VCM</t>
        </is>
      </c>
      <c r="D39" s="27" t="inlineStr">
        <is>
          <t>5°</t>
        </is>
      </c>
      <c r="E39" s="35" t="inlineStr">
        <is>
          <t>Huancayo</t>
        </is>
      </c>
      <c r="F39" s="35" t="inlineStr">
        <is>
          <t>SUASNABAR TOLENTINO LUIS RICARDO</t>
        </is>
      </c>
      <c r="G39" s="24" t="inlineStr">
        <is>
          <t>Varón</t>
        </is>
      </c>
      <c r="H39" s="23" t="inlineStr">
        <is>
          <t>Provisional</t>
        </is>
      </c>
    </row>
    <row r="40">
      <c r="A40" s="27" t="n"/>
      <c r="B40" s="36" t="inlineStr">
        <is>
          <t>JUP</t>
        </is>
      </c>
      <c r="C40" s="35" t="inlineStr">
        <is>
          <t>Familia VCM</t>
        </is>
      </c>
      <c r="D40" s="27" t="inlineStr">
        <is>
          <t>6°</t>
        </is>
      </c>
      <c r="E40" s="35" t="inlineStr">
        <is>
          <t>Huancayo</t>
        </is>
      </c>
      <c r="F40" s="35" t="inlineStr">
        <is>
          <t>MORALES MONTES GRACIELA</t>
        </is>
      </c>
      <c r="G40" s="21" t="inlineStr">
        <is>
          <t>Mujer</t>
        </is>
      </c>
      <c r="H40" s="37" t="inlineStr">
        <is>
          <t>Provisional</t>
        </is>
      </c>
    </row>
    <row r="41">
      <c r="A41" s="27" t="n"/>
      <c r="B41" s="38" t="inlineStr">
        <is>
          <t>JUP</t>
        </is>
      </c>
      <c r="C41" s="35" t="inlineStr">
        <is>
          <t>Familia VCM</t>
        </is>
      </c>
      <c r="D41" s="27" t="inlineStr">
        <is>
          <t>7°</t>
        </is>
      </c>
      <c r="E41" s="35" t="inlineStr">
        <is>
          <t>Huancayo</t>
        </is>
      </c>
      <c r="F41" s="35" t="inlineStr">
        <is>
          <t>BALDEON GAMARRA ANGELA BEATRIZ</t>
        </is>
      </c>
      <c r="G41" s="21" t="inlineStr">
        <is>
          <t>Mujer</t>
        </is>
      </c>
      <c r="H41" s="23" t="inlineStr">
        <is>
          <t>Provisional</t>
        </is>
      </c>
    </row>
    <row r="42">
      <c r="A42" s="27" t="n"/>
      <c r="B42" s="38" t="inlineStr">
        <is>
          <t>JUP</t>
        </is>
      </c>
      <c r="C42" s="35" t="inlineStr">
        <is>
          <t>Familia VCM</t>
        </is>
      </c>
      <c r="D42" s="27" t="inlineStr">
        <is>
          <t>8°</t>
        </is>
      </c>
      <c r="E42" s="35" t="inlineStr">
        <is>
          <t>Huancayo</t>
        </is>
      </c>
      <c r="F42" s="35" t="inlineStr">
        <is>
          <t>TORRES DELGADO EDWIN VICTOR</t>
        </is>
      </c>
      <c r="G42" s="24" t="inlineStr">
        <is>
          <t>Varón</t>
        </is>
      </c>
      <c r="H42" s="22" t="inlineStr">
        <is>
          <t>Provisional</t>
        </is>
      </c>
    </row>
    <row r="43">
      <c r="A43" s="27" t="n"/>
      <c r="B43" s="38" t="inlineStr">
        <is>
          <t>JUP</t>
        </is>
      </c>
      <c r="C43" s="35" t="inlineStr">
        <is>
          <t>Familia VCM</t>
        </is>
      </c>
      <c r="D43" s="27" t="inlineStr">
        <is>
          <t>9°</t>
        </is>
      </c>
      <c r="E43" s="35" t="inlineStr">
        <is>
          <t>Huancayo</t>
        </is>
      </c>
      <c r="F43" s="35" t="inlineStr">
        <is>
          <t>CARHUAMACA QUISPE GABRIELA</t>
        </is>
      </c>
      <c r="G43" s="24" t="inlineStr">
        <is>
          <t>Mujer</t>
        </is>
      </c>
      <c r="H43" s="37" t="inlineStr">
        <is>
          <t>Supernumerario</t>
        </is>
      </c>
    </row>
    <row r="44">
      <c r="A44" s="27" t="n"/>
      <c r="B44" s="38" t="inlineStr">
        <is>
          <t>JUP</t>
        </is>
      </c>
      <c r="C44" s="35" t="inlineStr">
        <is>
          <t>Familia VCM</t>
        </is>
      </c>
      <c r="D44" s="27" t="inlineStr">
        <is>
          <t>10°</t>
        </is>
      </c>
      <c r="E44" s="35" t="inlineStr">
        <is>
          <t>Huancayo</t>
        </is>
      </c>
      <c r="F44" s="35" t="inlineStr">
        <is>
          <t>AUQUI HUERTA TEOFANES EDGAR</t>
        </is>
      </c>
      <c r="G44" s="24" t="inlineStr">
        <is>
          <t>Varón</t>
        </is>
      </c>
      <c r="H44" s="37" t="inlineStr">
        <is>
          <t>Provisional</t>
        </is>
      </c>
    </row>
    <row r="45" ht="24" customHeight="1">
      <c r="A45" s="27" t="n"/>
      <c r="B45" s="38" t="inlineStr">
        <is>
          <t>JUP</t>
        </is>
      </c>
      <c r="C45" s="35" t="inlineStr">
        <is>
          <t>Penal Unip. Corrupción</t>
        </is>
      </c>
      <c r="D45" s="27" t="inlineStr">
        <is>
          <t>5°</t>
        </is>
      </c>
      <c r="E45" s="35" t="inlineStr">
        <is>
          <t>Huancayo</t>
        </is>
      </c>
      <c r="F45" s="35" t="inlineStr">
        <is>
          <t>ALEJANDRO HUANUCO ROSEMARIE CLEMENCIA</t>
        </is>
      </c>
      <c r="G45" s="21" t="inlineStr">
        <is>
          <t>Mujer</t>
        </is>
      </c>
      <c r="H45" s="22" t="inlineStr">
        <is>
          <t>Supernumerario</t>
        </is>
      </c>
    </row>
    <row r="46">
      <c r="A46" s="27" t="n"/>
      <c r="B46" s="38" t="inlineStr">
        <is>
          <t>JUP</t>
        </is>
      </c>
      <c r="C46" s="35" t="inlineStr">
        <is>
          <t>Penal Unip. Corrupción</t>
        </is>
      </c>
      <c r="D46" s="27" t="inlineStr">
        <is>
          <t>6°</t>
        </is>
      </c>
      <c r="E46" s="35" t="inlineStr">
        <is>
          <t>Huancayo</t>
        </is>
      </c>
      <c r="F46" s="35" t="inlineStr">
        <is>
          <t>ARROYO AMES GUIDO REYNALDO</t>
        </is>
      </c>
      <c r="G46" s="21" t="inlineStr">
        <is>
          <t>Varón</t>
        </is>
      </c>
      <c r="H46" s="37" t="inlineStr">
        <is>
          <t>Titular</t>
        </is>
      </c>
    </row>
    <row r="47" ht="24" customHeight="1">
      <c r="A47" s="27" t="n"/>
      <c r="B47" s="38" t="inlineStr">
        <is>
          <t>JUP</t>
        </is>
      </c>
      <c r="C47" s="35" t="inlineStr">
        <is>
          <t>Penal Unip. VCM</t>
        </is>
      </c>
      <c r="D47" s="27" t="inlineStr">
        <is>
          <t>1°</t>
        </is>
      </c>
      <c r="E47" s="35" t="inlineStr">
        <is>
          <t>Huancayo</t>
        </is>
      </c>
      <c r="F47" s="35" t="inlineStr">
        <is>
          <t>CASTILLO GONZALES EMPERATRIZ VICTORIA</t>
        </is>
      </c>
      <c r="G47" s="24" t="inlineStr">
        <is>
          <t>Mujer</t>
        </is>
      </c>
      <c r="H47" s="37" t="inlineStr">
        <is>
          <t>Supernumerario</t>
        </is>
      </c>
    </row>
    <row r="48" ht="24" customHeight="1">
      <c r="A48" s="27" t="n"/>
      <c r="B48" s="38" t="inlineStr">
        <is>
          <t>JUP</t>
        </is>
      </c>
      <c r="C48" s="35" t="inlineStr">
        <is>
          <t>Penal Unip. VCM</t>
        </is>
      </c>
      <c r="D48" s="27" t="inlineStr">
        <is>
          <t>2°</t>
        </is>
      </c>
      <c r="E48" s="35" t="inlineStr">
        <is>
          <t>Huancayo</t>
        </is>
      </c>
      <c r="F48" s="35" t="inlineStr">
        <is>
          <t>CHUQUIPUIMA RICSE MERCEDES GEORGINA</t>
        </is>
      </c>
      <c r="G48" s="21" t="inlineStr">
        <is>
          <t>Mujer</t>
        </is>
      </c>
      <c r="H48" s="37" t="inlineStr">
        <is>
          <t>Supernumerario</t>
        </is>
      </c>
    </row>
    <row r="49">
      <c r="A49" s="27" t="n"/>
      <c r="B49" s="38" t="inlineStr">
        <is>
          <t>JUP</t>
        </is>
      </c>
      <c r="C49" s="35" t="inlineStr">
        <is>
          <t>Penal Unip. VCM</t>
        </is>
      </c>
      <c r="D49" s="27" t="inlineStr">
        <is>
          <t>3°</t>
        </is>
      </c>
      <c r="E49" s="35" t="inlineStr">
        <is>
          <t>Huancayo</t>
        </is>
      </c>
      <c r="F49" s="35" t="inlineStr">
        <is>
          <t>OBLITAS CEVALLOS LUIS ROLANDO</t>
        </is>
      </c>
      <c r="G49" s="21" t="inlineStr">
        <is>
          <t>Varón</t>
        </is>
      </c>
      <c r="H49" s="37" t="inlineStr">
        <is>
          <t>Supernumerario</t>
        </is>
      </c>
    </row>
    <row r="50">
      <c r="A50" s="27" t="n"/>
      <c r="B50" s="38" t="inlineStr">
        <is>
          <t>JUP</t>
        </is>
      </c>
      <c r="C50" s="35" t="inlineStr">
        <is>
          <t>Penal Unipersonal</t>
        </is>
      </c>
      <c r="D50" s="27" t="inlineStr">
        <is>
          <t>1°</t>
        </is>
      </c>
      <c r="E50" s="35" t="inlineStr">
        <is>
          <t>Huancayo</t>
        </is>
      </c>
      <c r="F50" s="35" t="inlineStr">
        <is>
          <t>RODRIGUEZ LIZANA RAFAEL</t>
        </is>
      </c>
      <c r="G50" s="21" t="inlineStr">
        <is>
          <t>Varón</t>
        </is>
      </c>
      <c r="H50" s="22" t="inlineStr">
        <is>
          <t>Titular</t>
        </is>
      </c>
    </row>
    <row r="51">
      <c r="A51" s="27" t="n"/>
      <c r="B51" s="38" t="inlineStr">
        <is>
          <t>JUP</t>
        </is>
      </c>
      <c r="C51" s="35" t="inlineStr">
        <is>
          <t>Penal Unipersonal</t>
        </is>
      </c>
      <c r="D51" s="27" t="inlineStr">
        <is>
          <t>2°</t>
        </is>
      </c>
      <c r="E51" s="35" t="inlineStr">
        <is>
          <t>Huancayo</t>
        </is>
      </c>
      <c r="F51" s="35" t="inlineStr">
        <is>
          <t>GONZALES ORE YONNY ALBINO</t>
        </is>
      </c>
      <c r="G51" s="21" t="inlineStr">
        <is>
          <t>Varón</t>
        </is>
      </c>
      <c r="H51" s="37" t="inlineStr">
        <is>
          <t>Supernumerario</t>
        </is>
      </c>
    </row>
    <row r="52">
      <c r="A52" s="27" t="n"/>
      <c r="B52" s="39" t="inlineStr">
        <is>
          <t>JUP</t>
        </is>
      </c>
      <c r="C52" s="35" t="inlineStr">
        <is>
          <t>Penal Unipersonal</t>
        </is>
      </c>
      <c r="D52" s="27" t="inlineStr">
        <is>
          <t>3°</t>
        </is>
      </c>
      <c r="E52" s="35" t="inlineStr">
        <is>
          <t>Huancayo</t>
        </is>
      </c>
      <c r="F52" s="35" t="inlineStr">
        <is>
          <t>PALOMINO PRADO RICHARD</t>
        </is>
      </c>
      <c r="G52" s="24" t="inlineStr">
        <is>
          <t>Varón</t>
        </is>
      </c>
      <c r="H52" s="37" t="inlineStr">
        <is>
          <t>Titular</t>
        </is>
      </c>
    </row>
    <row r="53">
      <c r="A53" s="27" t="n"/>
      <c r="B53" s="39" t="inlineStr">
        <is>
          <t>JUP</t>
        </is>
      </c>
      <c r="C53" s="35" t="inlineStr">
        <is>
          <t>Penal Unipersonal</t>
        </is>
      </c>
      <c r="D53" s="27" t="inlineStr">
        <is>
          <t>4°</t>
        </is>
      </c>
      <c r="E53" s="35" t="inlineStr">
        <is>
          <t>Huancayo</t>
        </is>
      </c>
      <c r="F53" s="35" t="inlineStr">
        <is>
          <t>FERNÁNDEZ ORDOÑEZ AMPARO</t>
        </is>
      </c>
      <c r="G53" s="24" t="inlineStr">
        <is>
          <t>Mujer</t>
        </is>
      </c>
      <c r="H53" s="37" t="inlineStr">
        <is>
          <t>Supernumerario</t>
        </is>
      </c>
    </row>
    <row r="54">
      <c r="A54" s="27" t="n"/>
      <c r="B54" s="39" t="inlineStr">
        <is>
          <t>JUP</t>
        </is>
      </c>
      <c r="C54" s="35" t="inlineStr">
        <is>
          <t>Trabajo</t>
        </is>
      </c>
      <c r="D54" s="27" t="inlineStr">
        <is>
          <t>1°</t>
        </is>
      </c>
      <c r="E54" s="35" t="inlineStr">
        <is>
          <t>Huancayo</t>
        </is>
      </c>
      <c r="F54" s="35" t="inlineStr">
        <is>
          <t>ALVA RICALDI PAUL FAUSTINO</t>
        </is>
      </c>
      <c r="G54" s="24" t="inlineStr">
        <is>
          <t>Varón</t>
        </is>
      </c>
      <c r="H54" s="37" t="inlineStr">
        <is>
          <t>Supernumerario</t>
        </is>
      </c>
    </row>
    <row r="55">
      <c r="A55" s="27" t="n"/>
      <c r="B55" s="39" t="inlineStr">
        <is>
          <t>JUP</t>
        </is>
      </c>
      <c r="C55" s="35" t="inlineStr">
        <is>
          <t>Trabajo</t>
        </is>
      </c>
      <c r="D55" s="27" t="inlineStr">
        <is>
          <t>2°</t>
        </is>
      </c>
      <c r="E55" s="35" t="inlineStr">
        <is>
          <t>Huancayo</t>
        </is>
      </c>
      <c r="F55" s="35" t="inlineStr">
        <is>
          <t>CHANCO CASTILLON ESAU</t>
        </is>
      </c>
      <c r="G55" s="21" t="inlineStr">
        <is>
          <t>Varón</t>
        </is>
      </c>
      <c r="H55" s="37" t="inlineStr">
        <is>
          <t>Titular</t>
        </is>
      </c>
    </row>
    <row r="56">
      <c r="A56" s="27" t="n"/>
      <c r="B56" s="39" t="inlineStr">
        <is>
          <t>JUP</t>
        </is>
      </c>
      <c r="C56" s="35" t="inlineStr">
        <is>
          <t>Trabajo</t>
        </is>
      </c>
      <c r="D56" s="27" t="inlineStr">
        <is>
          <t>3°</t>
        </is>
      </c>
      <c r="E56" s="35" t="inlineStr">
        <is>
          <t>Huancayo</t>
        </is>
      </c>
      <c r="F56" s="35" t="inlineStr">
        <is>
          <t>QUINTEROS CARLOS LETICIA</t>
        </is>
      </c>
      <c r="G56" s="24" t="inlineStr">
        <is>
          <t>Mujer</t>
        </is>
      </c>
      <c r="H56" s="37" t="inlineStr">
        <is>
          <t>Titular</t>
        </is>
      </c>
    </row>
    <row r="57">
      <c r="A57" s="27" t="n"/>
      <c r="B57" s="39" t="inlineStr">
        <is>
          <t>JUP</t>
        </is>
      </c>
      <c r="C57" s="35" t="inlineStr">
        <is>
          <t>Trabajo</t>
        </is>
      </c>
      <c r="D57" s="27" t="inlineStr">
        <is>
          <t>4°</t>
        </is>
      </c>
      <c r="E57" s="35" t="inlineStr">
        <is>
          <t>Huancayo</t>
        </is>
      </c>
      <c r="F57" s="35" t="inlineStr">
        <is>
          <t>GOMEZ BAZALAR IRIS EDITH</t>
        </is>
      </c>
      <c r="G57" s="24" t="inlineStr">
        <is>
          <t>Mujer</t>
        </is>
      </c>
      <c r="H57" s="37" t="inlineStr">
        <is>
          <t>Provisional</t>
        </is>
      </c>
    </row>
    <row r="58">
      <c r="A58" s="27" t="n"/>
      <c r="B58" s="39" t="inlineStr">
        <is>
          <t>JUP</t>
        </is>
      </c>
      <c r="C58" s="35" t="inlineStr">
        <is>
          <t>Trabajo Transitorio</t>
        </is>
      </c>
      <c r="D58" s="27" t="inlineStr">
        <is>
          <t>-</t>
        </is>
      </c>
      <c r="E58" s="35" t="inlineStr">
        <is>
          <t>Huancayo</t>
        </is>
      </c>
      <c r="F58" s="35" t="inlineStr">
        <is>
          <t>ARTEAGA FERNANDEZ ISAAC ARTURO</t>
        </is>
      </c>
      <c r="G58" s="24" t="inlineStr">
        <is>
          <t>Varón</t>
        </is>
      </c>
      <c r="H58" s="22" t="inlineStr">
        <is>
          <t>Supernumerario</t>
        </is>
      </c>
    </row>
    <row r="59">
      <c r="A59" s="27" t="n"/>
      <c r="B59" s="39" t="inlineStr">
        <is>
          <t>JIP</t>
        </is>
      </c>
      <c r="C59" s="35" t="inlineStr">
        <is>
          <t>Extinción de Dominio</t>
        </is>
      </c>
      <c r="D59" s="27" t="inlineStr">
        <is>
          <t>-</t>
        </is>
      </c>
      <c r="E59" s="35" t="inlineStr">
        <is>
          <t>Huancayo</t>
        </is>
      </c>
      <c r="F59" s="35" t="inlineStr">
        <is>
          <t>CONCHA CHAVEZ WILIAMAN PERCY</t>
        </is>
      </c>
      <c r="G59" s="21" t="inlineStr">
        <is>
          <t>Varón</t>
        </is>
      </c>
      <c r="H59" s="22" t="inlineStr">
        <is>
          <t>Provisional</t>
        </is>
      </c>
    </row>
    <row r="60">
      <c r="A60" s="27" t="n"/>
      <c r="B60" s="39" t="inlineStr">
        <is>
          <t>JIP</t>
        </is>
      </c>
      <c r="C60" s="35" t="inlineStr">
        <is>
          <t>Invest. Prep. Corrupción</t>
        </is>
      </c>
      <c r="D60" s="27" t="inlineStr">
        <is>
          <t>5°</t>
        </is>
      </c>
      <c r="E60" s="35" t="inlineStr">
        <is>
          <t>Huancayo</t>
        </is>
      </c>
      <c r="F60" s="35" t="inlineStr">
        <is>
          <t>BALDEON QUISPE JULY ELIANE</t>
        </is>
      </c>
      <c r="G60" s="21" t="inlineStr">
        <is>
          <t>Mujer</t>
        </is>
      </c>
      <c r="H60" s="37" t="inlineStr">
        <is>
          <t>Titular</t>
        </is>
      </c>
    </row>
    <row r="61">
      <c r="A61" s="27" t="n"/>
      <c r="B61" s="39" t="inlineStr">
        <is>
          <t>JIP</t>
        </is>
      </c>
      <c r="C61" s="35" t="inlineStr">
        <is>
          <t>Invest. Prep. Corrupción</t>
        </is>
      </c>
      <c r="D61" s="27" t="inlineStr">
        <is>
          <t>8°</t>
        </is>
      </c>
      <c r="E61" s="35" t="inlineStr">
        <is>
          <t>Huancayo</t>
        </is>
      </c>
      <c r="F61" s="35" t="inlineStr">
        <is>
          <t>PALOMINO HUATUCO SAMMY KATHERINE</t>
        </is>
      </c>
      <c r="G61" s="24" t="inlineStr">
        <is>
          <t>Mujer</t>
        </is>
      </c>
      <c r="H61" s="37" t="inlineStr">
        <is>
          <t>Supernumerario</t>
        </is>
      </c>
    </row>
    <row r="62">
      <c r="A62" s="27" t="n"/>
      <c r="B62" s="39" t="inlineStr">
        <is>
          <t>JIP</t>
        </is>
      </c>
      <c r="C62" s="35" t="inlineStr">
        <is>
          <t>Invest. Prep. Flagrancia</t>
        </is>
      </c>
      <c r="D62" s="27" t="inlineStr">
        <is>
          <t>3°</t>
        </is>
      </c>
      <c r="E62" s="35" t="inlineStr">
        <is>
          <t>Huancayo</t>
        </is>
      </c>
      <c r="F62" s="35" t="inlineStr">
        <is>
          <t>GARCIA DEXTRE CLAUDIA BALDRAMINA</t>
        </is>
      </c>
      <c r="G62" s="24" t="inlineStr">
        <is>
          <t>Mujer</t>
        </is>
      </c>
      <c r="H62" s="37" t="inlineStr">
        <is>
          <t>Supernumerario</t>
        </is>
      </c>
    </row>
    <row r="63">
      <c r="A63" s="72" t="n"/>
      <c r="B63" s="73" t="inlineStr">
        <is>
          <t>JIP</t>
        </is>
      </c>
      <c r="C63" s="74" t="inlineStr">
        <is>
          <t>Invest. Prep. Flagrancia</t>
        </is>
      </c>
      <c r="D63" s="72" t="inlineStr">
        <is>
          <t>4°</t>
        </is>
      </c>
      <c r="E63" s="74" t="inlineStr">
        <is>
          <t>Huancayo</t>
        </is>
      </c>
      <c r="F63" s="74" t="inlineStr">
        <is>
          <t>LONGARAY CASTRO ROGER OMAR</t>
        </is>
      </c>
      <c r="G63" s="75" t="inlineStr">
        <is>
          <t>Varón</t>
        </is>
      </c>
      <c r="H63" s="76" t="inlineStr">
        <is>
          <t>Titular</t>
        </is>
      </c>
    </row>
    <row r="64">
      <c r="A64" s="72" t="n"/>
      <c r="B64" s="73" t="inlineStr">
        <is>
          <t>JIP</t>
        </is>
      </c>
      <c r="C64" s="74" t="inlineStr">
        <is>
          <t>Invest. Prep. VCM</t>
        </is>
      </c>
      <c r="D64" s="72" t="inlineStr">
        <is>
          <t>1°</t>
        </is>
      </c>
      <c r="E64" s="74" t="inlineStr">
        <is>
          <t>Huancayo</t>
        </is>
      </c>
      <c r="F64" s="74" t="inlineStr">
        <is>
          <t>GUTIERREZ HUAMAN HOOVER OSCAR</t>
        </is>
      </c>
      <c r="G64" s="75" t="inlineStr">
        <is>
          <t>Varón</t>
        </is>
      </c>
      <c r="H64" s="76" t="inlineStr">
        <is>
          <t>Supernumerario</t>
        </is>
      </c>
    </row>
    <row r="65">
      <c r="A65" s="72" t="n"/>
      <c r="B65" s="73" t="inlineStr">
        <is>
          <t>JIP</t>
        </is>
      </c>
      <c r="C65" s="74" t="inlineStr">
        <is>
          <t>Invest. Prep. VCM</t>
        </is>
      </c>
      <c r="D65" s="72" t="inlineStr">
        <is>
          <t>2°</t>
        </is>
      </c>
      <c r="E65" s="74" t="inlineStr">
        <is>
          <t>Huancayo</t>
        </is>
      </c>
      <c r="F65" s="74" t="inlineStr">
        <is>
          <t>JINES RAFAEL MARIBEL</t>
        </is>
      </c>
      <c r="G65" s="75" t="inlineStr">
        <is>
          <t>Mujer</t>
        </is>
      </c>
      <c r="H65" s="76" t="inlineStr">
        <is>
          <t>Supernumerario</t>
        </is>
      </c>
    </row>
    <row r="66">
      <c r="A66" s="72" t="n"/>
      <c r="B66" s="73" t="inlineStr">
        <is>
          <t>JIP</t>
        </is>
      </c>
      <c r="C66" s="74" t="inlineStr">
        <is>
          <t>Invest. Prep. VCM</t>
        </is>
      </c>
      <c r="D66" s="72" t="inlineStr">
        <is>
          <t>3°</t>
        </is>
      </c>
      <c r="E66" s="74" t="inlineStr">
        <is>
          <t>Huancayo</t>
        </is>
      </c>
      <c r="F66" s="74" t="inlineStr">
        <is>
          <t>ROJAS CHANCASANAMPA MICHAEL HENRY</t>
        </is>
      </c>
      <c r="G66" s="75" t="inlineStr">
        <is>
          <t>Varón</t>
        </is>
      </c>
      <c r="H66" s="76" t="inlineStr">
        <is>
          <t>Supernumerario</t>
        </is>
      </c>
    </row>
    <row r="67">
      <c r="A67" s="72" t="n"/>
      <c r="B67" s="73" t="inlineStr">
        <is>
          <t>JIP</t>
        </is>
      </c>
      <c r="C67" s="74" t="inlineStr">
        <is>
          <t>Invest. Preparatoria</t>
        </is>
      </c>
      <c r="D67" s="72" t="inlineStr">
        <is>
          <t>1°</t>
        </is>
      </c>
      <c r="E67" s="74" t="inlineStr">
        <is>
          <t>Huancayo</t>
        </is>
      </c>
      <c r="F67" s="74" t="inlineStr">
        <is>
          <t>HERRERA RIVAS RAFAEL AGUSTIN</t>
        </is>
      </c>
      <c r="G67" s="75" t="inlineStr">
        <is>
          <t>Varón</t>
        </is>
      </c>
      <c r="H67" s="76" t="inlineStr">
        <is>
          <t>Supernumerario</t>
        </is>
      </c>
    </row>
    <row r="68">
      <c r="A68" s="72" t="n"/>
      <c r="B68" s="73" t="inlineStr">
        <is>
          <t>JIP</t>
        </is>
      </c>
      <c r="C68" s="74" t="inlineStr">
        <is>
          <t>Invest. Preparatoria</t>
        </is>
      </c>
      <c r="D68" s="72" t="inlineStr">
        <is>
          <t>2°</t>
        </is>
      </c>
      <c r="E68" s="74" t="inlineStr">
        <is>
          <t>Huancayo</t>
        </is>
      </c>
      <c r="F68" s="74" t="inlineStr">
        <is>
          <t>BELLO MERLO EVER</t>
        </is>
      </c>
      <c r="G68" s="75" t="inlineStr">
        <is>
          <t>Varón</t>
        </is>
      </c>
      <c r="H68" s="76" t="inlineStr">
        <is>
          <t>Titular</t>
        </is>
      </c>
    </row>
    <row r="69">
      <c r="A69" s="72" t="n"/>
      <c r="B69" s="73" t="inlineStr">
        <is>
          <t>JIP</t>
        </is>
      </c>
      <c r="C69" s="74" t="inlineStr">
        <is>
          <t>Invest. Preparatoria</t>
        </is>
      </c>
      <c r="D69" s="72" t="inlineStr">
        <is>
          <t>6°</t>
        </is>
      </c>
      <c r="E69" s="74" t="inlineStr">
        <is>
          <t>Huancayo</t>
        </is>
      </c>
      <c r="F69" s="74" t="inlineStr">
        <is>
          <t>GUADALUPE ULLOA RUBEN CESARIO</t>
        </is>
      </c>
      <c r="G69" s="75" t="inlineStr">
        <is>
          <t>Varón</t>
        </is>
      </c>
      <c r="H69" s="76" t="inlineStr">
        <is>
          <t>Supernumerario</t>
        </is>
      </c>
    </row>
    <row r="70">
      <c r="A70" s="72" t="n"/>
      <c r="B70" s="73" t="inlineStr">
        <is>
          <t>JPL</t>
        </is>
      </c>
      <c r="C70" s="74" t="inlineStr">
        <is>
          <t>Mixto</t>
        </is>
      </c>
      <c r="D70" s="72" t="inlineStr">
        <is>
          <t>-</t>
        </is>
      </c>
      <c r="E70" s="74" t="inlineStr">
        <is>
          <t>S.A. de Cajas</t>
        </is>
      </c>
      <c r="F70" s="74" t="inlineStr">
        <is>
          <t>DUEÑAS IZARRA FLOR DE LIZ</t>
        </is>
      </c>
      <c r="G70" s="75" t="inlineStr">
        <is>
          <t>Mujer</t>
        </is>
      </c>
      <c r="H70" s="76" t="inlineStr">
        <is>
          <t>Supernumerario</t>
        </is>
      </c>
    </row>
    <row r="71">
      <c r="A71" s="72" t="n"/>
      <c r="B71" s="73" t="inlineStr">
        <is>
          <t>JPL</t>
        </is>
      </c>
      <c r="C71" s="74" t="inlineStr">
        <is>
          <t>Mixto</t>
        </is>
      </c>
      <c r="D71" s="72" t="inlineStr">
        <is>
          <t>1°</t>
        </is>
      </c>
      <c r="E71" s="74" t="inlineStr">
        <is>
          <t>Huancayo</t>
        </is>
      </c>
      <c r="F71" s="74" t="inlineStr">
        <is>
          <t>JORGE RAMIREZ KATHYA CORINA</t>
        </is>
      </c>
      <c r="G71" s="75" t="inlineStr">
        <is>
          <t>Mujer</t>
        </is>
      </c>
      <c r="H71" s="76" t="inlineStr">
        <is>
          <t>Supernumerario</t>
        </is>
      </c>
    </row>
    <row r="72">
      <c r="A72" s="72" t="n"/>
      <c r="B72" s="73" t="inlineStr">
        <is>
          <t>JPL</t>
        </is>
      </c>
      <c r="C72" s="74" t="inlineStr">
        <is>
          <t>Mixto</t>
        </is>
      </c>
      <c r="D72" s="72" t="inlineStr">
        <is>
          <t>1°</t>
        </is>
      </c>
      <c r="E72" s="74" t="inlineStr">
        <is>
          <t>Chilca</t>
        </is>
      </c>
      <c r="F72" s="74" t="inlineStr">
        <is>
          <t>CHAUCAYANQUI ZORRILLA RUTH</t>
        </is>
      </c>
      <c r="G72" s="75" t="inlineStr">
        <is>
          <t>Mujer</t>
        </is>
      </c>
      <c r="H72" s="76" t="inlineStr">
        <is>
          <t>Supernumerario</t>
        </is>
      </c>
    </row>
    <row r="73">
      <c r="A73" s="72" t="n"/>
      <c r="B73" s="73" t="inlineStr">
        <is>
          <t>JPL</t>
        </is>
      </c>
      <c r="C73" s="74" t="inlineStr">
        <is>
          <t>Mixto</t>
        </is>
      </c>
      <c r="D73" s="72" t="inlineStr">
        <is>
          <t>2°</t>
        </is>
      </c>
      <c r="E73" s="74" t="inlineStr">
        <is>
          <t>Huancayo</t>
        </is>
      </c>
      <c r="F73" s="74" t="inlineStr">
        <is>
          <t>CAMARENA CAMARENA MARCO ANTONIO</t>
        </is>
      </c>
      <c r="G73" s="75" t="inlineStr">
        <is>
          <t>Varón</t>
        </is>
      </c>
      <c r="H73" s="76" t="inlineStr">
        <is>
          <t>Supernumerario</t>
        </is>
      </c>
    </row>
    <row r="74">
      <c r="A74" s="72" t="n"/>
      <c r="B74" s="73" t="inlineStr">
        <is>
          <t>JPL</t>
        </is>
      </c>
      <c r="C74" s="74" t="inlineStr">
        <is>
          <t>Mixto</t>
        </is>
      </c>
      <c r="D74" s="72" t="inlineStr">
        <is>
          <t>2°</t>
        </is>
      </c>
      <c r="E74" s="74" t="inlineStr">
        <is>
          <t>Chilca</t>
        </is>
      </c>
      <c r="F74" s="74" t="inlineStr">
        <is>
          <t>CASTILLO AYALA MILANOVA DELIA</t>
        </is>
      </c>
      <c r="G74" s="75" t="inlineStr">
        <is>
          <t>Mujer</t>
        </is>
      </c>
      <c r="H74" s="76" t="inlineStr">
        <is>
          <t>Supernumerario</t>
        </is>
      </c>
    </row>
    <row r="75">
      <c r="A75" s="72" t="n"/>
      <c r="B75" s="73" t="inlineStr">
        <is>
          <t>JPL</t>
        </is>
      </c>
      <c r="C75" s="74" t="inlineStr">
        <is>
          <t>Mixto</t>
        </is>
      </c>
      <c r="D75" s="72" t="inlineStr">
        <is>
          <t>3°</t>
        </is>
      </c>
      <c r="E75" s="74" t="inlineStr">
        <is>
          <t>Huancayo</t>
        </is>
      </c>
      <c r="F75" s="74" t="inlineStr">
        <is>
          <t>CORILLOCLLA SANCHEZ DIANA LUZ</t>
        </is>
      </c>
      <c r="G75" s="75" t="inlineStr">
        <is>
          <t>Mujer</t>
        </is>
      </c>
      <c r="H75" s="76" t="inlineStr">
        <is>
          <t>Supernumerario</t>
        </is>
      </c>
    </row>
    <row r="76">
      <c r="A76" s="72" t="n"/>
      <c r="B76" s="73" t="inlineStr">
        <is>
          <t>JPL</t>
        </is>
      </c>
      <c r="C76" s="74" t="inlineStr">
        <is>
          <t>Mixto</t>
        </is>
      </c>
      <c r="D76" s="72" t="inlineStr">
        <is>
          <t>3°</t>
        </is>
      </c>
      <c r="E76" s="74" t="inlineStr">
        <is>
          <t>El Tambo</t>
        </is>
      </c>
      <c r="F76" s="74" t="inlineStr">
        <is>
          <t>VELASQUEZ VIVAS ALIDA SOLEDAD</t>
        </is>
      </c>
      <c r="G76" s="75" t="inlineStr">
        <is>
          <t>Mujer</t>
        </is>
      </c>
      <c r="H76" s="76" t="inlineStr">
        <is>
          <t>Titular</t>
        </is>
      </c>
    </row>
    <row r="77">
      <c r="A77" s="72" t="n"/>
      <c r="B77" s="73" t="inlineStr">
        <is>
          <t>JPL</t>
        </is>
      </c>
      <c r="C77" s="74" t="inlineStr">
        <is>
          <t>Familia</t>
        </is>
      </c>
      <c r="D77" s="72" t="inlineStr">
        <is>
          <t>1°</t>
        </is>
      </c>
      <c r="E77" s="74" t="inlineStr">
        <is>
          <t>El Tambo</t>
        </is>
      </c>
      <c r="F77" s="74" t="inlineStr">
        <is>
          <t>ALANYA CASTILLO MIGUEL ANGEL</t>
        </is>
      </c>
      <c r="G77" s="75" t="inlineStr">
        <is>
          <t>Varón</t>
        </is>
      </c>
      <c r="H77" s="76" t="inlineStr">
        <is>
          <t>Titular</t>
        </is>
      </c>
    </row>
    <row r="78">
      <c r="A78" s="72" t="n"/>
      <c r="B78" s="73" t="inlineStr">
        <is>
          <t>JPL</t>
        </is>
      </c>
      <c r="C78" s="74" t="inlineStr">
        <is>
          <t>Familia</t>
        </is>
      </c>
      <c r="D78" s="72" t="inlineStr">
        <is>
          <t>2°</t>
        </is>
      </c>
      <c r="E78" s="74" t="inlineStr">
        <is>
          <t>El Tambo</t>
        </is>
      </c>
      <c r="F78" s="74" t="inlineStr">
        <is>
          <t>URIBE MORAN MIGUEL ANGEL</t>
        </is>
      </c>
      <c r="G78" s="75" t="inlineStr">
        <is>
          <t>Varón</t>
        </is>
      </c>
      <c r="H78" s="76" t="inlineStr">
        <is>
          <t>Supernumerario</t>
        </is>
      </c>
    </row>
    <row r="79">
      <c r="A79" s="72" t="n"/>
      <c r="B79" s="73" t="inlineStr">
        <is>
          <t>JPL</t>
        </is>
      </c>
      <c r="C79" s="74" t="inlineStr">
        <is>
          <t>Laboral</t>
        </is>
      </c>
      <c r="D79" s="72" t="inlineStr">
        <is>
          <t>-</t>
        </is>
      </c>
      <c r="E79" s="74" t="inlineStr">
        <is>
          <t>Huancayo</t>
        </is>
      </c>
      <c r="F79" s="74" t="inlineStr">
        <is>
          <t>BARRIOS MORALES LUZ MARIBEL</t>
        </is>
      </c>
      <c r="G79" s="75" t="inlineStr">
        <is>
          <t>Mujer</t>
        </is>
      </c>
      <c r="H79" s="76" t="inlineStr">
        <is>
          <t>Supernumerario</t>
        </is>
      </c>
    </row>
    <row r="80">
      <c r="A80" s="72" t="n"/>
      <c r="B80" s="73" t="inlineStr">
        <is>
          <t>JPL</t>
        </is>
      </c>
      <c r="C80" s="74" t="inlineStr">
        <is>
          <t>Penal</t>
        </is>
      </c>
      <c r="D80" s="72" t="inlineStr">
        <is>
          <t>4°</t>
        </is>
      </c>
      <c r="E80" s="74" t="inlineStr">
        <is>
          <t>El Tambo</t>
        </is>
      </c>
      <c r="F80" s="74" t="inlineStr">
        <is>
          <t>ARAUJO MONTES NELVA MICARELLI</t>
        </is>
      </c>
      <c r="G80" s="75" t="inlineStr">
        <is>
          <t>Mujer</t>
        </is>
      </c>
      <c r="H80" s="76" t="inlineStr">
        <is>
          <t>Supernumerario</t>
        </is>
      </c>
    </row>
    <row r="81" ht="18" customHeight="1">
      <c r="A81" s="85" t="inlineStr">
        <is>
          <t xml:space="preserve">  PROVINCIA DE TARMA</t>
        </is>
      </c>
      <c r="B81" s="100" t="n"/>
      <c r="C81" s="100" t="n"/>
      <c r="D81" s="100" t="n"/>
      <c r="E81" s="100" t="n"/>
      <c r="F81" s="100" t="n"/>
      <c r="G81" s="100" t="n"/>
      <c r="H81" s="100" t="n"/>
    </row>
    <row r="82">
      <c r="A82" s="27" t="n"/>
      <c r="B82" s="34" t="inlineStr">
        <is>
          <t>SALA</t>
        </is>
      </c>
      <c r="C82" s="35" t="inlineStr">
        <is>
          <t>Mixta</t>
        </is>
      </c>
      <c r="D82" s="27" t="inlineStr">
        <is>
          <t>-</t>
        </is>
      </c>
      <c r="E82" s="35" t="inlineStr">
        <is>
          <t>Tarma</t>
        </is>
      </c>
      <c r="F82" s="35" t="inlineStr">
        <is>
          <t>OLIVERA GUERRA NICK</t>
        </is>
      </c>
      <c r="G82" s="21" t="inlineStr">
        <is>
          <t>Varón</t>
        </is>
      </c>
      <c r="H82" s="22" t="inlineStr">
        <is>
          <t>Titular</t>
        </is>
      </c>
    </row>
    <row r="83">
      <c r="A83" s="27" t="n"/>
      <c r="B83" s="36" t="inlineStr">
        <is>
          <t>SALA</t>
        </is>
      </c>
      <c r="C83" s="35" t="inlineStr">
        <is>
          <t>Mixta</t>
        </is>
      </c>
      <c r="D83" s="27" t="inlineStr">
        <is>
          <t>-</t>
        </is>
      </c>
      <c r="E83" s="35" t="inlineStr">
        <is>
          <t>Tarma</t>
        </is>
      </c>
      <c r="F83" s="35" t="inlineStr">
        <is>
          <t>TAFUR FUENTES CESAR AUGUSTO</t>
        </is>
      </c>
      <c r="G83" s="21" t="inlineStr">
        <is>
          <t>Varón</t>
        </is>
      </c>
      <c r="H83" s="22" t="inlineStr">
        <is>
          <t>Supernumerario</t>
        </is>
      </c>
    </row>
    <row r="84">
      <c r="A84" s="27" t="n"/>
      <c r="B84" s="36" t="inlineStr">
        <is>
          <t>SALA</t>
        </is>
      </c>
      <c r="C84" s="35" t="inlineStr">
        <is>
          <t>Mixta</t>
        </is>
      </c>
      <c r="D84" s="27" t="inlineStr">
        <is>
          <t>-</t>
        </is>
      </c>
      <c r="E84" s="35" t="inlineStr">
        <is>
          <t>Tarma</t>
        </is>
      </c>
      <c r="F84" s="35" t="inlineStr">
        <is>
          <t>TICONA MAMANI JOSE LUIS</t>
        </is>
      </c>
      <c r="G84" s="21" t="inlineStr">
        <is>
          <t>Varón</t>
        </is>
      </c>
      <c r="H84" s="23" t="inlineStr">
        <is>
          <t>Provisional</t>
        </is>
      </c>
    </row>
    <row r="85">
      <c r="A85" s="27" t="n"/>
      <c r="B85" s="36" t="inlineStr">
        <is>
          <t>JUP</t>
        </is>
      </c>
      <c r="C85" s="35" t="inlineStr">
        <is>
          <t>Civil</t>
        </is>
      </c>
      <c r="D85" s="27" t="inlineStr">
        <is>
          <t>-</t>
        </is>
      </c>
      <c r="E85" s="35" t="inlineStr">
        <is>
          <t>Tarma</t>
        </is>
      </c>
      <c r="F85" s="35" t="inlineStr">
        <is>
          <t>PEÑA TORRES EVGUENI</t>
        </is>
      </c>
      <c r="G85" s="24" t="inlineStr">
        <is>
          <t>Varón</t>
        </is>
      </c>
      <c r="H85" s="22" t="inlineStr">
        <is>
          <t>Titular</t>
        </is>
      </c>
    </row>
    <row r="86">
      <c r="A86" s="27" t="n"/>
      <c r="B86" s="36" t="inlineStr">
        <is>
          <t>JUP</t>
        </is>
      </c>
      <c r="C86" s="35" t="inlineStr">
        <is>
          <t>Familia VCM</t>
        </is>
      </c>
      <c r="D86" s="27" t="inlineStr">
        <is>
          <t>-</t>
        </is>
      </c>
      <c r="E86" s="35" t="inlineStr">
        <is>
          <t>Tarma</t>
        </is>
      </c>
      <c r="F86" s="35" t="inlineStr">
        <is>
          <t>ROJAS LAZARO WILLIAM RAUL</t>
        </is>
      </c>
      <c r="G86" s="21" t="inlineStr">
        <is>
          <t>Varón</t>
        </is>
      </c>
      <c r="H86" s="22" t="inlineStr">
        <is>
          <t>Provisional</t>
        </is>
      </c>
    </row>
    <row r="87">
      <c r="A87" s="27" t="n"/>
      <c r="B87" s="36" t="inlineStr">
        <is>
          <t>JUP</t>
        </is>
      </c>
      <c r="C87" s="35" t="inlineStr">
        <is>
          <t>Penal Unipersonal</t>
        </is>
      </c>
      <c r="D87" s="27" t="inlineStr">
        <is>
          <t>1°</t>
        </is>
      </c>
      <c r="E87" s="35" t="inlineStr">
        <is>
          <t>Tarma</t>
        </is>
      </c>
      <c r="F87" s="35" t="inlineStr">
        <is>
          <t>CACHAY ROJAS MARIA DOLORES</t>
        </is>
      </c>
      <c r="G87" s="21" t="inlineStr">
        <is>
          <t>Mujer</t>
        </is>
      </c>
      <c r="H87" s="22" t="inlineStr">
        <is>
          <t>Titular</t>
        </is>
      </c>
    </row>
    <row r="88">
      <c r="A88" s="27" t="n"/>
      <c r="B88" s="38" t="inlineStr">
        <is>
          <t>JUP</t>
        </is>
      </c>
      <c r="C88" s="35" t="inlineStr">
        <is>
          <t>Penal Unipersonal</t>
        </is>
      </c>
      <c r="D88" s="27" t="inlineStr">
        <is>
          <t>2°</t>
        </is>
      </c>
      <c r="E88" s="35" t="inlineStr">
        <is>
          <t>Tarma</t>
        </is>
      </c>
      <c r="F88" s="35" t="inlineStr">
        <is>
          <t>QUISPE VILCAPOMA RICHARTH</t>
        </is>
      </c>
      <c r="G88" s="21" t="inlineStr">
        <is>
          <t>Varón</t>
        </is>
      </c>
      <c r="H88" s="23" t="inlineStr">
        <is>
          <t>Titular</t>
        </is>
      </c>
    </row>
    <row r="89">
      <c r="A89" s="27" t="n"/>
      <c r="B89" s="38" t="inlineStr">
        <is>
          <t>JUP</t>
        </is>
      </c>
      <c r="C89" s="35" t="inlineStr">
        <is>
          <t>Penal Unipersonal</t>
        </is>
      </c>
      <c r="D89" s="27" t="inlineStr">
        <is>
          <t>3°</t>
        </is>
      </c>
      <c r="E89" s="35" t="inlineStr">
        <is>
          <t>Tarma</t>
        </is>
      </c>
      <c r="F89" s="35" t="inlineStr">
        <is>
          <t>VILLANUEVA ALTAMIRANO EDWIN WILSON</t>
        </is>
      </c>
      <c r="G89" s="21" t="inlineStr">
        <is>
          <t>Varón</t>
        </is>
      </c>
      <c r="H89" s="22" t="inlineStr">
        <is>
          <t>Titular</t>
        </is>
      </c>
    </row>
    <row r="90">
      <c r="A90" s="27" t="n"/>
      <c r="B90" s="39" t="inlineStr">
        <is>
          <t>JIP</t>
        </is>
      </c>
      <c r="C90" s="35" t="inlineStr">
        <is>
          <t>Invest. Prep. Flagrancia</t>
        </is>
      </c>
      <c r="D90" s="27" t="inlineStr">
        <is>
          <t>2°</t>
        </is>
      </c>
      <c r="E90" s="35" t="inlineStr">
        <is>
          <t>Tarma</t>
        </is>
      </c>
      <c r="F90" s="35" t="inlineStr">
        <is>
          <t>CARHUAMACA CLAUDIO ALEX JUAN</t>
        </is>
      </c>
      <c r="G90" s="24" t="inlineStr">
        <is>
          <t>Varón</t>
        </is>
      </c>
      <c r="H90" s="37" t="inlineStr">
        <is>
          <t>Provisional</t>
        </is>
      </c>
    </row>
    <row r="91">
      <c r="A91" s="72" t="n"/>
      <c r="B91" s="73" t="inlineStr">
        <is>
          <t>JIP</t>
        </is>
      </c>
      <c r="C91" s="74" t="inlineStr">
        <is>
          <t>Invest. Preparatoria</t>
        </is>
      </c>
      <c r="D91" s="72" t="inlineStr">
        <is>
          <t>1°</t>
        </is>
      </c>
      <c r="E91" s="74" t="inlineStr">
        <is>
          <t>Tarma</t>
        </is>
      </c>
      <c r="F91" s="74" t="inlineStr">
        <is>
          <t>DIESTRA VIVAR EDGARDO RODOLFO</t>
        </is>
      </c>
      <c r="G91" s="75" t="inlineStr">
        <is>
          <t>Varón</t>
        </is>
      </c>
      <c r="H91" s="76" t="inlineStr">
        <is>
          <t>Titular</t>
        </is>
      </c>
    </row>
    <row r="92">
      <c r="A92" s="27" t="n"/>
      <c r="B92" s="39" t="inlineStr">
        <is>
          <t>JPL</t>
        </is>
      </c>
      <c r="C92" s="35" t="inlineStr">
        <is>
          <t>Mixto</t>
        </is>
      </c>
      <c r="D92" s="27" t="inlineStr">
        <is>
          <t>-</t>
        </is>
      </c>
      <c r="E92" s="35" t="inlineStr">
        <is>
          <t>Acobamba</t>
        </is>
      </c>
      <c r="F92" s="35" t="inlineStr">
        <is>
          <t>QUIROZ POZO WALKER</t>
        </is>
      </c>
      <c r="G92" s="21" t="inlineStr">
        <is>
          <t>Varón</t>
        </is>
      </c>
      <c r="H92" s="37" t="inlineStr">
        <is>
          <t>Supernumerario</t>
        </is>
      </c>
    </row>
    <row r="93">
      <c r="A93" s="72" t="n"/>
      <c r="B93" s="73" t="inlineStr">
        <is>
          <t>JPL</t>
        </is>
      </c>
      <c r="C93" s="74" t="inlineStr">
        <is>
          <t>Mixto</t>
        </is>
      </c>
      <c r="D93" s="72" t="inlineStr">
        <is>
          <t>1°</t>
        </is>
      </c>
      <c r="E93" s="74" t="inlineStr">
        <is>
          <t>Tarma</t>
        </is>
      </c>
      <c r="F93" s="74" t="inlineStr">
        <is>
          <t>SILVERIO CAMAHUALI GIULIANA PAOLA</t>
        </is>
      </c>
      <c r="G93" s="75" t="inlineStr">
        <is>
          <t>Mujer</t>
        </is>
      </c>
      <c r="H93" s="76" t="inlineStr">
        <is>
          <t>Supernumerario</t>
        </is>
      </c>
    </row>
    <row r="94" ht="18" customHeight="1">
      <c r="A94" s="86" t="inlineStr">
        <is>
          <t xml:space="preserve">  PROVINCIA DE JAUJA</t>
        </is>
      </c>
      <c r="B94" s="100" t="n"/>
      <c r="C94" s="100" t="n"/>
      <c r="D94" s="100" t="n"/>
      <c r="E94" s="100" t="n"/>
      <c r="F94" s="100" t="n"/>
      <c r="G94" s="100" t="n"/>
      <c r="H94" s="100" t="n"/>
    </row>
    <row r="95">
      <c r="A95" s="27" t="n"/>
      <c r="B95" s="36" t="inlineStr">
        <is>
          <t>JUP</t>
        </is>
      </c>
      <c r="C95" s="35" t="inlineStr">
        <is>
          <t>Civil</t>
        </is>
      </c>
      <c r="D95" s="27" t="inlineStr">
        <is>
          <t>-</t>
        </is>
      </c>
      <c r="E95" s="35" t="inlineStr">
        <is>
          <t>Jauja</t>
        </is>
      </c>
      <c r="F95" s="35" t="inlineStr">
        <is>
          <t>BORDA VARGAS ITALO ARTURO</t>
        </is>
      </c>
      <c r="G95" s="21" t="inlineStr">
        <is>
          <t>Varón</t>
        </is>
      </c>
      <c r="H95" s="22" t="inlineStr">
        <is>
          <t>Titular</t>
        </is>
      </c>
    </row>
    <row r="96">
      <c r="A96" s="27" t="n"/>
      <c r="B96" s="36" t="inlineStr">
        <is>
          <t>JUP</t>
        </is>
      </c>
      <c r="C96" s="35" t="inlineStr">
        <is>
          <t>Familia</t>
        </is>
      </c>
      <c r="D96" s="27" t="inlineStr">
        <is>
          <t>-</t>
        </is>
      </c>
      <c r="E96" s="35" t="inlineStr">
        <is>
          <t>Jauja</t>
        </is>
      </c>
      <c r="F96" s="35" t="inlineStr">
        <is>
          <t>RUCABADO ROMERO BLANCA NORMA</t>
        </is>
      </c>
      <c r="G96" s="24" t="inlineStr">
        <is>
          <t>Mujer</t>
        </is>
      </c>
      <c r="H96" s="23" t="inlineStr">
        <is>
          <t>Provisional</t>
        </is>
      </c>
    </row>
    <row r="97">
      <c r="A97" s="27" t="n"/>
      <c r="B97" s="36" t="inlineStr">
        <is>
          <t>JUP</t>
        </is>
      </c>
      <c r="C97" s="35" t="inlineStr">
        <is>
          <t>Penal Unipersonal</t>
        </is>
      </c>
      <c r="D97" s="27" t="inlineStr">
        <is>
          <t>1°</t>
        </is>
      </c>
      <c r="E97" s="35" t="inlineStr">
        <is>
          <t>Jauja</t>
        </is>
      </c>
      <c r="F97" s="35" t="inlineStr">
        <is>
          <t>PINO PUMA HENRY</t>
        </is>
      </c>
      <c r="G97" s="21" t="inlineStr">
        <is>
          <t>Varón</t>
        </is>
      </c>
      <c r="H97" s="22" t="inlineStr">
        <is>
          <t>Titular</t>
        </is>
      </c>
    </row>
    <row r="98">
      <c r="A98" s="27" t="n"/>
      <c r="B98" s="36" t="inlineStr">
        <is>
          <t>JUP</t>
        </is>
      </c>
      <c r="C98" s="35" t="inlineStr">
        <is>
          <t>Penal Unipersonal</t>
        </is>
      </c>
      <c r="D98" s="27" t="inlineStr">
        <is>
          <t>2°</t>
        </is>
      </c>
      <c r="E98" s="35" t="inlineStr">
        <is>
          <t>Jauja</t>
        </is>
      </c>
      <c r="F98" s="35" t="inlineStr">
        <is>
          <t>ARROYO VELITA HUGO</t>
        </is>
      </c>
      <c r="G98" s="21" t="inlineStr">
        <is>
          <t>Varón</t>
        </is>
      </c>
      <c r="H98" s="22" t="inlineStr">
        <is>
          <t>Titular</t>
        </is>
      </c>
    </row>
    <row r="99">
      <c r="A99" s="27" t="n"/>
      <c r="B99" s="38" t="inlineStr">
        <is>
          <t>JIP</t>
        </is>
      </c>
      <c r="C99" s="35" t="inlineStr">
        <is>
          <t>Invest. Preparatoria</t>
        </is>
      </c>
      <c r="D99" s="27" t="inlineStr">
        <is>
          <t>1°</t>
        </is>
      </c>
      <c r="E99" s="35" t="inlineStr">
        <is>
          <t>Jauja</t>
        </is>
      </c>
      <c r="F99" s="35" t="inlineStr">
        <is>
          <t>PERALTA PAMPA LIZBETH PAOLA</t>
        </is>
      </c>
      <c r="G99" s="24" t="inlineStr">
        <is>
          <t>Mujer</t>
        </is>
      </c>
      <c r="H99" s="22" t="inlineStr">
        <is>
          <t>Titular</t>
        </is>
      </c>
    </row>
    <row r="100">
      <c r="A100" s="27" t="n"/>
      <c r="B100" s="38" t="inlineStr">
        <is>
          <t>JIP</t>
        </is>
      </c>
      <c r="C100" s="35" t="inlineStr">
        <is>
          <t>Invest. Preparatoria</t>
        </is>
      </c>
      <c r="D100" s="27" t="inlineStr">
        <is>
          <t>2°</t>
        </is>
      </c>
      <c r="E100" s="35" t="inlineStr">
        <is>
          <t>Jauja</t>
        </is>
      </c>
      <c r="F100" s="35" t="inlineStr">
        <is>
          <t>HUAMAN CARRASCO SEGUNDO JUAN</t>
        </is>
      </c>
      <c r="G100" s="21" t="inlineStr">
        <is>
          <t>Varón</t>
        </is>
      </c>
      <c r="H100" s="22" t="inlineStr">
        <is>
          <t>Titular</t>
        </is>
      </c>
    </row>
    <row r="101">
      <c r="A101" s="27" t="n"/>
      <c r="B101" s="39" t="inlineStr">
        <is>
          <t>JPL</t>
        </is>
      </c>
      <c r="C101" s="35" t="inlineStr">
        <is>
          <t>Mixto</t>
        </is>
      </c>
      <c r="D101" s="27" t="inlineStr">
        <is>
          <t>-</t>
        </is>
      </c>
      <c r="E101" s="35" t="inlineStr">
        <is>
          <t>Jauja</t>
        </is>
      </c>
      <c r="F101" s="35" t="inlineStr">
        <is>
          <t>MAMANI ESCOBAR CHRISTIAN ESBIARDO</t>
        </is>
      </c>
      <c r="G101" s="21" t="inlineStr">
        <is>
          <t>Varón</t>
        </is>
      </c>
      <c r="H101" s="37" t="inlineStr">
        <is>
          <t>Supernumerario</t>
        </is>
      </c>
    </row>
    <row r="102" ht="18" customHeight="1">
      <c r="A102" s="87" t="inlineStr">
        <is>
          <t xml:space="preserve">  PROVINCIA DE CHUPACA</t>
        </is>
      </c>
      <c r="B102" s="100" t="n"/>
      <c r="C102" s="100" t="n"/>
      <c r="D102" s="100" t="n"/>
      <c r="E102" s="100" t="n"/>
      <c r="F102" s="100" t="n"/>
      <c r="G102" s="100" t="n"/>
      <c r="H102" s="100" t="n"/>
    </row>
    <row r="103">
      <c r="A103" s="27" t="n"/>
      <c r="B103" s="36" t="inlineStr">
        <is>
          <t>JUP</t>
        </is>
      </c>
      <c r="C103" s="35" t="inlineStr">
        <is>
          <t>Civil</t>
        </is>
      </c>
      <c r="D103" s="27" t="inlineStr">
        <is>
          <t>-</t>
        </is>
      </c>
      <c r="E103" s="35" t="inlineStr">
        <is>
          <t>Chupaca</t>
        </is>
      </c>
      <c r="F103" s="35" t="inlineStr">
        <is>
          <t>LUQUE PINTO JORGE RENE</t>
        </is>
      </c>
      <c r="G103" s="21" t="inlineStr">
        <is>
          <t>Varón</t>
        </is>
      </c>
      <c r="H103" s="22" t="inlineStr">
        <is>
          <t>Titular</t>
        </is>
      </c>
    </row>
    <row r="104">
      <c r="A104" s="27" t="n"/>
      <c r="B104" s="36" t="inlineStr">
        <is>
          <t>JUP</t>
        </is>
      </c>
      <c r="C104" s="35" t="inlineStr">
        <is>
          <t>Civil Mixto Trans.</t>
        </is>
      </c>
      <c r="D104" s="27" t="inlineStr">
        <is>
          <t>-</t>
        </is>
      </c>
      <c r="E104" s="35" t="inlineStr">
        <is>
          <t>Chupaca</t>
        </is>
      </c>
      <c r="F104" s="35" t="inlineStr">
        <is>
          <t>JIMÉNEZ PATIÑO HENRY JUAN</t>
        </is>
      </c>
      <c r="G104" s="21" t="inlineStr">
        <is>
          <t>Varón</t>
        </is>
      </c>
      <c r="H104" s="37" t="inlineStr">
        <is>
          <t>Supernumerario</t>
        </is>
      </c>
    </row>
    <row r="105">
      <c r="A105" s="27" t="n"/>
      <c r="B105" s="36" t="inlineStr">
        <is>
          <t>JUP</t>
        </is>
      </c>
      <c r="C105" s="35" t="inlineStr">
        <is>
          <t>Penal Unipersonal</t>
        </is>
      </c>
      <c r="D105" s="27" t="inlineStr">
        <is>
          <t>-</t>
        </is>
      </c>
      <c r="E105" s="35" t="inlineStr">
        <is>
          <t>Chupaca</t>
        </is>
      </c>
      <c r="F105" s="35" t="inlineStr">
        <is>
          <t>CURIÑAUPA MEDINA MARIO LUIS</t>
        </is>
      </c>
      <c r="G105" s="21" t="inlineStr">
        <is>
          <t>Varón</t>
        </is>
      </c>
      <c r="H105" s="22" t="inlineStr">
        <is>
          <t>Titular</t>
        </is>
      </c>
    </row>
    <row r="106">
      <c r="A106" s="27" t="n"/>
      <c r="B106" s="38" t="inlineStr">
        <is>
          <t>JIP</t>
        </is>
      </c>
      <c r="C106" s="35" t="inlineStr">
        <is>
          <t>Invest. Preparatoria</t>
        </is>
      </c>
      <c r="D106" s="27" t="inlineStr">
        <is>
          <t>-</t>
        </is>
      </c>
      <c r="E106" s="35" t="inlineStr">
        <is>
          <t>Chupaca</t>
        </is>
      </c>
      <c r="F106" s="35" t="inlineStr">
        <is>
          <t>ZEBALLOS HURTADO GILMAR LEONIDAS</t>
        </is>
      </c>
      <c r="G106" s="21" t="inlineStr">
        <is>
          <t>Varón</t>
        </is>
      </c>
      <c r="H106" s="22" t="inlineStr">
        <is>
          <t>Titular</t>
        </is>
      </c>
    </row>
    <row r="107">
      <c r="A107" s="27" t="n"/>
      <c r="B107" s="39" t="inlineStr">
        <is>
          <t>JPL</t>
        </is>
      </c>
      <c r="C107" s="35" t="inlineStr">
        <is>
          <t>Mixto</t>
        </is>
      </c>
      <c r="D107" s="27" t="inlineStr">
        <is>
          <t>-</t>
        </is>
      </c>
      <c r="E107" s="35" t="inlineStr">
        <is>
          <t>Chupaca</t>
        </is>
      </c>
      <c r="F107" s="35" t="inlineStr">
        <is>
          <t>DUEÑAS HINOJOSA ROY ROGER</t>
        </is>
      </c>
      <c r="G107" s="21" t="inlineStr">
        <is>
          <t>Varón</t>
        </is>
      </c>
      <c r="H107" s="37" t="inlineStr">
        <is>
          <t>Supernumerario</t>
        </is>
      </c>
    </row>
    <row r="108" ht="18" customHeight="1">
      <c r="A108" s="88" t="inlineStr">
        <is>
          <t xml:space="preserve">  PROVINCIA DE CONCEPCIÓN</t>
        </is>
      </c>
      <c r="B108" s="100" t="n"/>
      <c r="C108" s="100" t="n"/>
      <c r="D108" s="100" t="n"/>
      <c r="E108" s="100" t="n"/>
      <c r="F108" s="100" t="n"/>
      <c r="G108" s="100" t="n"/>
      <c r="H108" s="100" t="n"/>
    </row>
    <row r="109">
      <c r="A109" s="27" t="n"/>
      <c r="B109" s="36" t="inlineStr">
        <is>
          <t>JUP</t>
        </is>
      </c>
      <c r="C109" s="35" t="inlineStr">
        <is>
          <t>Civil</t>
        </is>
      </c>
      <c r="D109" s="27" t="inlineStr">
        <is>
          <t>-</t>
        </is>
      </c>
      <c r="E109" s="35" t="inlineStr">
        <is>
          <t>Concepción</t>
        </is>
      </c>
      <c r="F109" s="35" t="inlineStr">
        <is>
          <t>ROJAS MORALES NADIA</t>
        </is>
      </c>
      <c r="G109" s="24" t="inlineStr">
        <is>
          <t>Mujer</t>
        </is>
      </c>
      <c r="H109" s="37" t="inlineStr">
        <is>
          <t>Supernumerario</t>
        </is>
      </c>
    </row>
    <row r="110">
      <c r="A110" s="27" t="n"/>
      <c r="B110" s="36" t="inlineStr">
        <is>
          <t>JUP</t>
        </is>
      </c>
      <c r="C110" s="35" t="inlineStr">
        <is>
          <t>Penal Unipersonal</t>
        </is>
      </c>
      <c r="D110" s="27" t="inlineStr">
        <is>
          <t>-</t>
        </is>
      </c>
      <c r="E110" s="35" t="inlineStr">
        <is>
          <t>Concepción</t>
        </is>
      </c>
      <c r="F110" s="35" t="inlineStr">
        <is>
          <t>LANDEO ALVAREZ FERNAN OLAVO</t>
        </is>
      </c>
      <c r="G110" s="21" t="inlineStr">
        <is>
          <t>Varón</t>
        </is>
      </c>
      <c r="H110" s="23" t="inlineStr">
        <is>
          <t>Provisional</t>
        </is>
      </c>
    </row>
    <row r="111">
      <c r="A111" s="27" t="n"/>
      <c r="B111" s="38" t="inlineStr">
        <is>
          <t>JIP</t>
        </is>
      </c>
      <c r="C111" s="35" t="inlineStr">
        <is>
          <t>Invest. Preparatoria</t>
        </is>
      </c>
      <c r="D111" s="27" t="inlineStr">
        <is>
          <t>-</t>
        </is>
      </c>
      <c r="E111" s="35" t="inlineStr">
        <is>
          <t>Concepción</t>
        </is>
      </c>
      <c r="F111" s="35" t="inlineStr">
        <is>
          <t>PALOMINO LEON FIDEL HUGO</t>
        </is>
      </c>
      <c r="G111" s="21" t="inlineStr">
        <is>
          <t>Varón</t>
        </is>
      </c>
      <c r="H111" s="22" t="inlineStr">
        <is>
          <t>Titular</t>
        </is>
      </c>
    </row>
    <row r="112">
      <c r="A112" s="27" t="n"/>
      <c r="B112" s="39" t="inlineStr">
        <is>
          <t>JPL</t>
        </is>
      </c>
      <c r="C112" s="35" t="inlineStr">
        <is>
          <t>Civil</t>
        </is>
      </c>
      <c r="D112" s="27" t="inlineStr">
        <is>
          <t>-</t>
        </is>
      </c>
      <c r="E112" s="35" t="inlineStr">
        <is>
          <t>Concepción</t>
        </is>
      </c>
      <c r="F112" s="35" t="inlineStr">
        <is>
          <t>ROMAN RAMOS JIMMY ANTHONY</t>
        </is>
      </c>
      <c r="G112" s="21" t="inlineStr">
        <is>
          <t>Varón</t>
        </is>
      </c>
      <c r="H112" s="37" t="inlineStr">
        <is>
          <t>Supernumerario</t>
        </is>
      </c>
    </row>
    <row r="113" ht="18" customHeight="1">
      <c r="A113" s="81" t="inlineStr">
        <is>
          <t xml:space="preserve">  PROVINCIA DE YAULI</t>
        </is>
      </c>
      <c r="B113" s="100" t="n"/>
      <c r="C113" s="100" t="n"/>
      <c r="D113" s="100" t="n"/>
      <c r="E113" s="100" t="n"/>
      <c r="F113" s="100" t="n"/>
      <c r="G113" s="100" t="n"/>
      <c r="H113" s="100" t="n"/>
    </row>
    <row r="114">
      <c r="A114" s="27" t="n"/>
      <c r="B114" s="36" t="inlineStr">
        <is>
          <t>JUP</t>
        </is>
      </c>
      <c r="C114" s="35" t="inlineStr">
        <is>
          <t>Civil</t>
        </is>
      </c>
      <c r="D114" s="27" t="inlineStr">
        <is>
          <t>-</t>
        </is>
      </c>
      <c r="E114" s="35" t="inlineStr">
        <is>
          <t>La Oroya</t>
        </is>
      </c>
      <c r="F114" s="35" t="inlineStr">
        <is>
          <t>SANTANA SOCUALAYA JESUS</t>
        </is>
      </c>
      <c r="G114" s="21" t="inlineStr">
        <is>
          <t>Varón</t>
        </is>
      </c>
      <c r="H114" s="22" t="inlineStr">
        <is>
          <t>Titular</t>
        </is>
      </c>
    </row>
    <row r="115">
      <c r="A115" s="27" t="n"/>
      <c r="B115" s="36" t="inlineStr">
        <is>
          <t>JUP</t>
        </is>
      </c>
      <c r="C115" s="35" t="inlineStr">
        <is>
          <t>Penal Unipersonal</t>
        </is>
      </c>
      <c r="D115" s="27" t="inlineStr">
        <is>
          <t>-</t>
        </is>
      </c>
      <c r="E115" s="35" t="inlineStr">
        <is>
          <t>La Oroya</t>
        </is>
      </c>
      <c r="F115" s="35" t="inlineStr">
        <is>
          <t>LLAMOCA MILLA SONIA AURORA</t>
        </is>
      </c>
      <c r="G115" s="24" t="inlineStr">
        <is>
          <t>Mujer</t>
        </is>
      </c>
      <c r="H115" s="22" t="inlineStr">
        <is>
          <t>Titular</t>
        </is>
      </c>
    </row>
    <row r="116">
      <c r="A116" s="27" t="n"/>
      <c r="B116" s="38" t="inlineStr">
        <is>
          <t>JIP</t>
        </is>
      </c>
      <c r="C116" s="35" t="inlineStr">
        <is>
          <t>Invest. Preparatoria</t>
        </is>
      </c>
      <c r="D116" s="27" t="inlineStr">
        <is>
          <t>-</t>
        </is>
      </c>
      <c r="E116" s="35" t="inlineStr">
        <is>
          <t>La Oroya</t>
        </is>
      </c>
      <c r="F116" s="35" t="inlineStr">
        <is>
          <t>SANTANA ANTEZANA MARIA ELENA</t>
        </is>
      </c>
      <c r="G116" s="24" t="inlineStr">
        <is>
          <t>Mujer</t>
        </is>
      </c>
      <c r="H116" s="22" t="inlineStr">
        <is>
          <t>Titular</t>
        </is>
      </c>
    </row>
    <row r="117">
      <c r="A117" s="27" t="n"/>
      <c r="B117" s="39" t="inlineStr">
        <is>
          <t>JPL</t>
        </is>
      </c>
      <c r="C117" s="35" t="inlineStr">
        <is>
          <t>Civil</t>
        </is>
      </c>
      <c r="D117" s="27" t="inlineStr">
        <is>
          <t>-</t>
        </is>
      </c>
      <c r="E117" s="35" t="inlineStr">
        <is>
          <t>La Oroya</t>
        </is>
      </c>
      <c r="F117" s="35" t="inlineStr">
        <is>
          <t>HUACHOS BENITES ELIZABETH</t>
        </is>
      </c>
      <c r="G117" s="24" t="inlineStr">
        <is>
          <t>Mujer</t>
        </is>
      </c>
      <c r="H117" s="37" t="inlineStr">
        <is>
          <t>Supernumerario</t>
        </is>
      </c>
    </row>
    <row r="118" ht="18" customHeight="1">
      <c r="A118" s="82" t="inlineStr">
        <is>
          <t xml:space="preserve">  PROVINCIA DE JUNÍN</t>
        </is>
      </c>
      <c r="B118" s="100" t="n"/>
      <c r="C118" s="100" t="n"/>
      <c r="D118" s="100" t="n"/>
      <c r="E118" s="100" t="n"/>
      <c r="F118" s="100" t="n"/>
      <c r="G118" s="100" t="n"/>
      <c r="H118" s="100" t="n"/>
    </row>
    <row r="119">
      <c r="A119" s="27" t="n"/>
      <c r="B119" s="36" t="inlineStr">
        <is>
          <t>JUP</t>
        </is>
      </c>
      <c r="C119" s="35" t="inlineStr">
        <is>
          <t>Civil</t>
        </is>
      </c>
      <c r="D119" s="27" t="inlineStr">
        <is>
          <t>-</t>
        </is>
      </c>
      <c r="E119" s="35" t="inlineStr">
        <is>
          <t>Junín</t>
        </is>
      </c>
      <c r="F119" s="35" t="inlineStr">
        <is>
          <t>CORZO HINOJOSA SAUL YUNISHIRO</t>
        </is>
      </c>
      <c r="G119" s="21" t="inlineStr">
        <is>
          <t>Varón</t>
        </is>
      </c>
      <c r="H119" s="37" t="inlineStr">
        <is>
          <t>Supernumerario</t>
        </is>
      </c>
    </row>
    <row r="120">
      <c r="A120" s="27" t="n"/>
      <c r="B120" s="36" t="inlineStr">
        <is>
          <t>JUP</t>
        </is>
      </c>
      <c r="C120" s="35" t="inlineStr">
        <is>
          <t>Penal Unipersonal</t>
        </is>
      </c>
      <c r="D120" s="27" t="inlineStr">
        <is>
          <t>-</t>
        </is>
      </c>
      <c r="E120" s="35" t="inlineStr">
        <is>
          <t>Junín</t>
        </is>
      </c>
      <c r="F120" s="35" t="inlineStr">
        <is>
          <t>CASTILLO RIVERA ELMER</t>
        </is>
      </c>
      <c r="G120" s="21" t="inlineStr">
        <is>
          <t>Varón</t>
        </is>
      </c>
      <c r="H120" s="22" t="inlineStr">
        <is>
          <t>Titular</t>
        </is>
      </c>
    </row>
    <row r="121">
      <c r="A121" s="27" t="n"/>
      <c r="B121" s="38" t="inlineStr">
        <is>
          <t>JIP</t>
        </is>
      </c>
      <c r="C121" s="35" t="inlineStr">
        <is>
          <t>Invest. Preparatoria</t>
        </is>
      </c>
      <c r="D121" s="27" t="inlineStr">
        <is>
          <t>-</t>
        </is>
      </c>
      <c r="E121" s="35" t="inlineStr">
        <is>
          <t>Junín</t>
        </is>
      </c>
      <c r="F121" s="35" t="inlineStr">
        <is>
          <t>CALIZAYA HUALPA RUBEN TOMAS</t>
        </is>
      </c>
      <c r="G121" s="21" t="inlineStr">
        <is>
          <t>Varón</t>
        </is>
      </c>
      <c r="H121" s="22" t="inlineStr">
        <is>
          <t>Titular</t>
        </is>
      </c>
    </row>
    <row r="122">
      <c r="A122" s="27" t="n"/>
      <c r="B122" s="39" t="inlineStr">
        <is>
          <t>JPL</t>
        </is>
      </c>
      <c r="C122" s="35" t="inlineStr">
        <is>
          <t>Mixto</t>
        </is>
      </c>
      <c r="D122" s="27" t="inlineStr">
        <is>
          <t>-</t>
        </is>
      </c>
      <c r="E122" s="35" t="inlineStr">
        <is>
          <t>Junín</t>
        </is>
      </c>
      <c r="F122" s="35" t="inlineStr">
        <is>
          <t>PEREZ NAVARRO LENIN RODER</t>
        </is>
      </c>
      <c r="G122" s="21" t="inlineStr">
        <is>
          <t>Varón</t>
        </is>
      </c>
      <c r="H122" s="37" t="inlineStr">
        <is>
          <t>Supernumerario</t>
        </is>
      </c>
    </row>
    <row r="123" ht="18" customHeight="1">
      <c r="A123" s="83" t="inlineStr">
        <is>
          <t xml:space="preserve">  PROVINCIA DE TAYACAJA</t>
        </is>
      </c>
      <c r="B123" s="100" t="n"/>
      <c r="C123" s="100" t="n"/>
      <c r="D123" s="100" t="n"/>
      <c r="E123" s="100" t="n"/>
      <c r="F123" s="100" t="n"/>
      <c r="G123" s="100" t="n"/>
      <c r="H123" s="100" t="n"/>
    </row>
    <row r="124">
      <c r="A124" s="27" t="n"/>
      <c r="B124" s="36" t="inlineStr">
        <is>
          <t>JUP</t>
        </is>
      </c>
      <c r="C124" s="35" t="inlineStr">
        <is>
          <t>Civil</t>
        </is>
      </c>
      <c r="D124" s="27" t="inlineStr">
        <is>
          <t>-</t>
        </is>
      </c>
      <c r="E124" s="35" t="inlineStr">
        <is>
          <t>Pampas</t>
        </is>
      </c>
      <c r="F124" s="35" t="inlineStr">
        <is>
          <t>LLALLICO MANZANEDO ALBERTO HENRY</t>
        </is>
      </c>
      <c r="G124" s="21" t="inlineStr">
        <is>
          <t>Varón</t>
        </is>
      </c>
      <c r="H124" s="37" t="inlineStr">
        <is>
          <t>Supernumerario</t>
        </is>
      </c>
    </row>
    <row r="125">
      <c r="A125" s="27" t="n"/>
      <c r="B125" s="36" t="inlineStr">
        <is>
          <t>JUP</t>
        </is>
      </c>
      <c r="C125" s="35" t="inlineStr">
        <is>
          <t>Penal Unipersonal</t>
        </is>
      </c>
      <c r="D125" s="27" t="inlineStr">
        <is>
          <t>-</t>
        </is>
      </c>
      <c r="E125" s="35" t="inlineStr">
        <is>
          <t>Pampas</t>
        </is>
      </c>
      <c r="F125" s="35" t="inlineStr">
        <is>
          <t>PINEDA CHAVEZ ROXANA</t>
        </is>
      </c>
      <c r="G125" s="24" t="inlineStr">
        <is>
          <t>Mujer</t>
        </is>
      </c>
      <c r="H125" s="22" t="inlineStr">
        <is>
          <t>Titular</t>
        </is>
      </c>
    </row>
    <row r="126">
      <c r="A126" s="27" t="n"/>
      <c r="B126" s="38" t="inlineStr">
        <is>
          <t>JIP</t>
        </is>
      </c>
      <c r="C126" s="35" t="inlineStr">
        <is>
          <t>Invest. Preparatoria</t>
        </is>
      </c>
      <c r="D126" s="27" t="inlineStr">
        <is>
          <t>-</t>
        </is>
      </c>
      <c r="E126" s="35" t="inlineStr">
        <is>
          <t>Pampas</t>
        </is>
      </c>
      <c r="F126" s="35" t="inlineStr">
        <is>
          <t>MATOS CENTENO JOSE LEONEL</t>
        </is>
      </c>
      <c r="G126" s="21" t="inlineStr">
        <is>
          <t>Varón</t>
        </is>
      </c>
      <c r="H126" s="23" t="inlineStr">
        <is>
          <t>Provisional</t>
        </is>
      </c>
    </row>
    <row r="127">
      <c r="A127" s="27" t="n"/>
      <c r="B127" s="39" t="inlineStr">
        <is>
          <t>JPL</t>
        </is>
      </c>
      <c r="C127" s="35" t="inlineStr">
        <is>
          <t>Mixto</t>
        </is>
      </c>
      <c r="D127" s="27" t="inlineStr">
        <is>
          <t>-</t>
        </is>
      </c>
      <c r="E127" s="35" t="inlineStr">
        <is>
          <t>Pampas</t>
        </is>
      </c>
      <c r="F127" s="35" t="inlineStr">
        <is>
          <t>MARTINEZ GARCIA ABEL YAHEVE</t>
        </is>
      </c>
      <c r="G127" s="21" t="inlineStr">
        <is>
          <t>Varón</t>
        </is>
      </c>
      <c r="H127" s="37" t="inlineStr">
        <is>
          <t>Supernumerario</t>
        </is>
      </c>
    </row>
    <row r="128">
      <c r="A128" s="27" t="n"/>
      <c r="B128" s="39" t="inlineStr">
        <is>
          <t>JPL</t>
        </is>
      </c>
      <c r="C128" s="35" t="inlineStr">
        <is>
          <t>Mixto</t>
        </is>
      </c>
      <c r="D128" s="27" t="inlineStr">
        <is>
          <t>-</t>
        </is>
      </c>
      <c r="E128" s="35" t="inlineStr">
        <is>
          <t>Surcubamba</t>
        </is>
      </c>
      <c r="F128" s="35" t="inlineStr">
        <is>
          <t>CUADRADO MARIN JORGE ALBERTO</t>
        </is>
      </c>
      <c r="G128" s="21" t="inlineStr">
        <is>
          <t>Varón</t>
        </is>
      </c>
      <c r="H128" s="37" t="inlineStr">
        <is>
          <t>Supernumerario</t>
        </is>
      </c>
    </row>
  </sheetData>
  <mergeCells count="9">
    <mergeCell ref="A1:H1"/>
    <mergeCell ref="A3:H3"/>
    <mergeCell ref="A81:H81"/>
    <mergeCell ref="A113:H113"/>
    <mergeCell ref="A108:H108"/>
    <mergeCell ref="A118:H118"/>
    <mergeCell ref="A102:H102"/>
    <mergeCell ref="A94:H94"/>
    <mergeCell ref="A123:H1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codeName="Hoja6">
    <tabColor theme="5" tint="0.5999938962981048"/>
    <outlinePr summaryBelow="1" summaryRight="1"/>
    <pageSetUpPr/>
  </sheetPr>
  <dimension ref="A1:F116"/>
  <sheetViews>
    <sheetView topLeftCell="A10" zoomScaleNormal="100" workbookViewId="0">
      <selection activeCell="H20" sqref="H20"/>
    </sheetView>
  </sheetViews>
  <sheetFormatPr baseColWidth="10" defaultColWidth="8.7109375" defaultRowHeight="15"/>
  <cols>
    <col width="14" customWidth="1" style="2" min="1" max="1"/>
    <col width="26" customWidth="1" style="2" min="2" max="2"/>
    <col width="6" customWidth="1" style="2" min="3" max="3"/>
    <col width="36" customWidth="1" style="2" min="4" max="4"/>
    <col width="8" customWidth="1" style="2" min="5" max="5"/>
    <col width="16" customWidth="1" style="2" min="6" max="6"/>
    <col width="8.7109375" customWidth="1" style="2" min="7" max="16384"/>
  </cols>
  <sheetData>
    <row r="1" ht="21.75" customHeight="1">
      <c r="A1" s="78" t="inlineStr">
        <is>
          <t>DISTRIBUCIÓN POR TIPO DE ÓRGANO JURISDICCIONAL</t>
        </is>
      </c>
    </row>
    <row r="2" ht="18" customHeight="1">
      <c r="A2" s="90" t="inlineStr">
        <is>
          <t>JPL — Juzgado de Paz Letrado  (20 magistrados)</t>
        </is>
      </c>
      <c r="B2" s="100" t="n"/>
      <c r="C2" s="100" t="n"/>
      <c r="D2" s="100" t="n"/>
      <c r="E2" s="100" t="n"/>
      <c r="F2" s="100" t="n"/>
    </row>
    <row r="3">
      <c r="A3" s="40" t="inlineStr">
        <is>
          <t>PROVINCIA</t>
        </is>
      </c>
      <c r="B3" s="40" t="inlineStr">
        <is>
          <t>ESPECIALIDAD</t>
        </is>
      </c>
      <c r="C3" s="40" t="inlineStr">
        <is>
          <t>N°</t>
        </is>
      </c>
      <c r="D3" s="40" t="inlineStr">
        <is>
          <t>MAGISTRADO</t>
        </is>
      </c>
      <c r="E3" s="40" t="inlineStr">
        <is>
          <t>SEXO</t>
        </is>
      </c>
      <c r="F3" s="40" t="inlineStr">
        <is>
          <t>CONDICIÓN</t>
        </is>
      </c>
    </row>
    <row r="4">
      <c r="A4" s="41" t="inlineStr">
        <is>
          <t>Huancayo</t>
        </is>
      </c>
      <c r="B4" s="35" t="inlineStr">
        <is>
          <t>Civil</t>
        </is>
      </c>
      <c r="C4" s="27" t="n"/>
      <c r="D4" s="35" t="inlineStr">
        <is>
          <t>DUEÑAS IZARRA FLOR DE LIZ</t>
        </is>
      </c>
      <c r="E4" s="24" t="inlineStr">
        <is>
          <t>Mujer</t>
        </is>
      </c>
      <c r="F4" s="37" t="inlineStr">
        <is>
          <t>Supernumerario</t>
        </is>
      </c>
    </row>
    <row r="5">
      <c r="A5" s="41" t="inlineStr">
        <is>
          <t>Huancayo</t>
        </is>
      </c>
      <c r="B5" s="35" t="inlineStr">
        <is>
          <t>Civil</t>
        </is>
      </c>
      <c r="C5" s="27" t="inlineStr">
        <is>
          <t>1°</t>
        </is>
      </c>
      <c r="D5" s="35" t="inlineStr">
        <is>
          <t>JORGE RAMIREZ KATHYA CORINA</t>
        </is>
      </c>
      <c r="E5" s="24" t="inlineStr">
        <is>
          <t>Mujer</t>
        </is>
      </c>
      <c r="F5" s="37" t="inlineStr">
        <is>
          <t>Supernumerario</t>
        </is>
      </c>
    </row>
    <row r="6">
      <c r="A6" s="41" t="inlineStr">
        <is>
          <t>Huancayo</t>
        </is>
      </c>
      <c r="B6" s="35" t="inlineStr">
        <is>
          <t>Civil</t>
        </is>
      </c>
      <c r="C6" s="27" t="inlineStr">
        <is>
          <t>1°</t>
        </is>
      </c>
      <c r="D6" s="35" t="inlineStr">
        <is>
          <t>CHAUCAYANQUI ZORRILLA RUTH</t>
        </is>
      </c>
      <c r="E6" s="24" t="inlineStr">
        <is>
          <t>Mujer</t>
        </is>
      </c>
      <c r="F6" s="37" t="inlineStr">
        <is>
          <t>Supernumerario</t>
        </is>
      </c>
    </row>
    <row r="7">
      <c r="A7" s="41" t="inlineStr">
        <is>
          <t>Huancayo</t>
        </is>
      </c>
      <c r="B7" s="35" t="inlineStr">
        <is>
          <t>Civil</t>
        </is>
      </c>
      <c r="C7" s="27" t="inlineStr">
        <is>
          <t>2°</t>
        </is>
      </c>
      <c r="D7" s="35" t="inlineStr">
        <is>
          <t>CAMARENA CAMARENA MARCO ANTONIO</t>
        </is>
      </c>
      <c r="E7" s="21" t="inlineStr">
        <is>
          <t>Varón</t>
        </is>
      </c>
      <c r="F7" s="37" t="inlineStr">
        <is>
          <t>Supernumerario</t>
        </is>
      </c>
    </row>
    <row r="8">
      <c r="A8" s="41" t="inlineStr">
        <is>
          <t>Huancayo</t>
        </is>
      </c>
      <c r="B8" s="35" t="inlineStr">
        <is>
          <t>Civil</t>
        </is>
      </c>
      <c r="C8" s="27" t="inlineStr">
        <is>
          <t>2°</t>
        </is>
      </c>
      <c r="D8" s="35" t="inlineStr">
        <is>
          <t>CASTILLO AYALA MILANOVA DELIA</t>
        </is>
      </c>
      <c r="E8" s="24" t="inlineStr">
        <is>
          <t>Mujer</t>
        </is>
      </c>
      <c r="F8" s="37" t="inlineStr">
        <is>
          <t>Supernumerario</t>
        </is>
      </c>
    </row>
    <row r="9">
      <c r="A9" s="41" t="inlineStr">
        <is>
          <t>Huancayo</t>
        </is>
      </c>
      <c r="B9" s="35" t="inlineStr">
        <is>
          <t>Civil</t>
        </is>
      </c>
      <c r="C9" s="27" t="inlineStr">
        <is>
          <t>3°</t>
        </is>
      </c>
      <c r="D9" s="35" t="inlineStr">
        <is>
          <t>CORILLOCLLA SANCHEZ DIANA LUZ</t>
        </is>
      </c>
      <c r="E9" s="24" t="inlineStr">
        <is>
          <t>Mujer</t>
        </is>
      </c>
      <c r="F9" s="37" t="inlineStr">
        <is>
          <t>Supernumerario</t>
        </is>
      </c>
    </row>
    <row r="10">
      <c r="A10" s="41" t="inlineStr">
        <is>
          <t>Huancayo</t>
        </is>
      </c>
      <c r="B10" s="35" t="inlineStr">
        <is>
          <t>Civil</t>
        </is>
      </c>
      <c r="C10" s="27" t="inlineStr">
        <is>
          <t>3°</t>
        </is>
      </c>
      <c r="D10" s="35" t="inlineStr">
        <is>
          <t>VELASQUEZ VIVAS ALIDA SOLEDAD</t>
        </is>
      </c>
      <c r="E10" s="24" t="inlineStr">
        <is>
          <t>Mujer</t>
        </is>
      </c>
      <c r="F10" s="22" t="inlineStr">
        <is>
          <t>Titular</t>
        </is>
      </c>
    </row>
    <row r="11">
      <c r="A11" s="41" t="inlineStr">
        <is>
          <t>Huancayo</t>
        </is>
      </c>
      <c r="B11" s="35" t="inlineStr">
        <is>
          <t>Familia</t>
        </is>
      </c>
      <c r="C11" s="27" t="inlineStr">
        <is>
          <t>1°</t>
        </is>
      </c>
      <c r="D11" s="35" t="inlineStr">
        <is>
          <t>ALANYA CASTILLO MIGUEL ANGEL</t>
        </is>
      </c>
      <c r="E11" s="21" t="inlineStr">
        <is>
          <t>Varón</t>
        </is>
      </c>
      <c r="F11" s="22" t="inlineStr">
        <is>
          <t>Titular</t>
        </is>
      </c>
    </row>
    <row r="12">
      <c r="A12" s="41" t="inlineStr">
        <is>
          <t>Huancayo</t>
        </is>
      </c>
      <c r="B12" s="35" t="inlineStr">
        <is>
          <t>Familia</t>
        </is>
      </c>
      <c r="C12" s="27" t="inlineStr">
        <is>
          <t>2°</t>
        </is>
      </c>
      <c r="D12" s="35" t="inlineStr">
        <is>
          <t>URIBE MORAN MIGUEL ANGEL</t>
        </is>
      </c>
      <c r="E12" s="21" t="inlineStr">
        <is>
          <t>Varón</t>
        </is>
      </c>
      <c r="F12" s="37" t="inlineStr">
        <is>
          <t>Supernumerario</t>
        </is>
      </c>
    </row>
    <row r="13">
      <c r="A13" s="41" t="inlineStr">
        <is>
          <t>Huancayo</t>
        </is>
      </c>
      <c r="B13" s="35" t="inlineStr">
        <is>
          <t>Laboral</t>
        </is>
      </c>
      <c r="C13" s="27" t="n"/>
      <c r="D13" s="35" t="inlineStr">
        <is>
          <t>BARRIOS MORALES LUZ MARIBEL</t>
        </is>
      </c>
      <c r="E13" s="24" t="inlineStr">
        <is>
          <t>Mujer</t>
        </is>
      </c>
      <c r="F13" s="37" t="inlineStr">
        <is>
          <t>Supernumerario</t>
        </is>
      </c>
    </row>
    <row r="14">
      <c r="A14" s="41" t="inlineStr">
        <is>
          <t>Huancayo</t>
        </is>
      </c>
      <c r="B14" s="35" t="inlineStr">
        <is>
          <t>Penal</t>
        </is>
      </c>
      <c r="C14" s="27" t="inlineStr">
        <is>
          <t>4°</t>
        </is>
      </c>
      <c r="D14" s="35" t="inlineStr">
        <is>
          <t>ARAUJO MONTES NELVA MICARELLI</t>
        </is>
      </c>
      <c r="E14" s="24" t="inlineStr">
        <is>
          <t>Mujer</t>
        </is>
      </c>
      <c r="F14" s="37" t="inlineStr">
        <is>
          <t>Supernumerario</t>
        </is>
      </c>
    </row>
    <row r="15">
      <c r="A15" s="41" t="inlineStr">
        <is>
          <t>Tarma</t>
        </is>
      </c>
      <c r="B15" s="35" t="inlineStr">
        <is>
          <t>Civil</t>
        </is>
      </c>
      <c r="C15" s="27" t="inlineStr">
        <is>
          <t>1°</t>
        </is>
      </c>
      <c r="D15" s="35" t="inlineStr">
        <is>
          <t>SILVERIO CAMAHUALI GIULIANA PAOLA</t>
        </is>
      </c>
      <c r="E15" s="24" t="inlineStr">
        <is>
          <t>Mujer</t>
        </is>
      </c>
      <c r="F15" s="37" t="inlineStr">
        <is>
          <t>Supernumerario</t>
        </is>
      </c>
    </row>
    <row r="16">
      <c r="A16" s="41" t="inlineStr">
        <is>
          <t>Jauja</t>
        </is>
      </c>
      <c r="B16" s="35" t="inlineStr">
        <is>
          <t>Civil</t>
        </is>
      </c>
      <c r="C16" s="27" t="n"/>
      <c r="D16" s="35" t="inlineStr">
        <is>
          <t>MAMANI ESCOBAR CHRISTIAN ESBIARDO</t>
        </is>
      </c>
      <c r="E16" s="21" t="inlineStr">
        <is>
          <t>Varón</t>
        </is>
      </c>
      <c r="F16" s="37" t="inlineStr">
        <is>
          <t>Supernumerario</t>
        </is>
      </c>
    </row>
    <row r="17">
      <c r="A17" s="41" t="inlineStr">
        <is>
          <t>Chupaca</t>
        </is>
      </c>
      <c r="B17" s="35" t="inlineStr">
        <is>
          <t>Civil</t>
        </is>
      </c>
      <c r="C17" s="27" t="n"/>
      <c r="D17" s="35" t="inlineStr">
        <is>
          <t>DUEÑAS HINOJOSA ROY ROGER</t>
        </is>
      </c>
      <c r="E17" s="21" t="inlineStr">
        <is>
          <t>Varón</t>
        </is>
      </c>
      <c r="F17" s="37" t="inlineStr">
        <is>
          <t>Supernumerario</t>
        </is>
      </c>
    </row>
    <row r="18">
      <c r="A18" s="41" t="inlineStr">
        <is>
          <t>Concepción</t>
        </is>
      </c>
      <c r="B18" s="35" t="inlineStr">
        <is>
          <t>Civil</t>
        </is>
      </c>
      <c r="C18" s="27" t="n"/>
      <c r="D18" s="35" t="inlineStr">
        <is>
          <t>ROMAN RAMOS JIMMY ANTHONY</t>
        </is>
      </c>
      <c r="E18" s="21" t="inlineStr">
        <is>
          <t>Varón</t>
        </is>
      </c>
      <c r="F18" s="37" t="inlineStr">
        <is>
          <t>Supernumerario</t>
        </is>
      </c>
    </row>
    <row r="19">
      <c r="A19" s="41" t="inlineStr">
        <is>
          <t>Yauli</t>
        </is>
      </c>
      <c r="B19" s="35" t="inlineStr">
        <is>
          <t>Civil</t>
        </is>
      </c>
      <c r="C19" s="27" t="n"/>
      <c r="D19" s="35" t="inlineStr">
        <is>
          <t>HUACHOS BENITES ELIZABETH</t>
        </is>
      </c>
      <c r="E19" s="24" t="inlineStr">
        <is>
          <t>Mujer</t>
        </is>
      </c>
      <c r="F19" s="37" t="inlineStr">
        <is>
          <t>Supernumerario</t>
        </is>
      </c>
    </row>
    <row r="20">
      <c r="A20" s="41" t="inlineStr">
        <is>
          <t>Junín</t>
        </is>
      </c>
      <c r="B20" s="35" t="inlineStr">
        <is>
          <t>Civil</t>
        </is>
      </c>
      <c r="C20" s="27" t="n"/>
      <c r="D20" s="35" t="inlineStr">
        <is>
          <t>PEREZ NAVARRO LENIN RODER</t>
        </is>
      </c>
      <c r="E20" s="21" t="inlineStr">
        <is>
          <t>Varón</t>
        </is>
      </c>
      <c r="F20" s="37" t="inlineStr">
        <is>
          <t>Supernumerario</t>
        </is>
      </c>
    </row>
    <row r="21">
      <c r="A21" s="41" t="inlineStr">
        <is>
          <t>Tayacaja</t>
        </is>
      </c>
      <c r="B21" s="35" t="inlineStr">
        <is>
          <t>Civil</t>
        </is>
      </c>
      <c r="C21" s="27" t="n"/>
      <c r="D21" s="35" t="inlineStr">
        <is>
          <t>MARTINEZ GARCIA ABEL YAHEVE</t>
        </is>
      </c>
      <c r="E21" s="21" t="inlineStr">
        <is>
          <t>Varón</t>
        </is>
      </c>
      <c r="F21" s="37" t="inlineStr">
        <is>
          <t>Supernumerario</t>
        </is>
      </c>
    </row>
    <row r="22">
      <c r="A22" s="41" t="inlineStr">
        <is>
          <t>Tayacaja</t>
        </is>
      </c>
      <c r="B22" s="35" t="inlineStr">
        <is>
          <t>Civil</t>
        </is>
      </c>
      <c r="C22" s="27" t="n"/>
      <c r="D22" s="35" t="inlineStr">
        <is>
          <t>QUIROZ POZO WALKER</t>
        </is>
      </c>
      <c r="E22" s="21" t="inlineStr">
        <is>
          <t>Varón</t>
        </is>
      </c>
      <c r="F22" s="37" t="inlineStr">
        <is>
          <t>Supernumerario</t>
        </is>
      </c>
    </row>
    <row r="23">
      <c r="A23" s="41" t="inlineStr">
        <is>
          <t>Tayacaja</t>
        </is>
      </c>
      <c r="B23" s="35" t="inlineStr">
        <is>
          <t>Civil</t>
        </is>
      </c>
      <c r="C23" s="27" t="n"/>
      <c r="D23" s="35" t="inlineStr">
        <is>
          <t>CUADRADO MARIN JORGE ALBERTO</t>
        </is>
      </c>
      <c r="E23" s="21" t="inlineStr">
        <is>
          <t>Varón</t>
        </is>
      </c>
      <c r="F23" s="37" t="inlineStr">
        <is>
          <t>Supernumerario</t>
        </is>
      </c>
    </row>
    <row r="25" ht="18" customHeight="1">
      <c r="A25" s="85" t="inlineStr">
        <is>
          <t>JIP — Juzgado de Investigación Preparatoria  (20 magistrados)</t>
        </is>
      </c>
      <c r="B25" s="100" t="n"/>
      <c r="C25" s="100" t="n"/>
      <c r="D25" s="100" t="n"/>
      <c r="E25" s="100" t="n"/>
      <c r="F25" s="100" t="n"/>
    </row>
    <row r="26">
      <c r="A26" s="40" t="inlineStr">
        <is>
          <t>PROVINCIA</t>
        </is>
      </c>
      <c r="B26" s="40" t="inlineStr">
        <is>
          <t>ESPECIALIDAD</t>
        </is>
      </c>
      <c r="C26" s="40" t="inlineStr">
        <is>
          <t>N°</t>
        </is>
      </c>
      <c r="D26" s="40" t="inlineStr">
        <is>
          <t>MAGISTRADO</t>
        </is>
      </c>
      <c r="E26" s="40" t="inlineStr">
        <is>
          <t>SEXO</t>
        </is>
      </c>
      <c r="F26" s="40" t="inlineStr">
        <is>
          <t>CONDICIÓN</t>
        </is>
      </c>
    </row>
    <row r="27">
      <c r="A27" s="42" t="inlineStr">
        <is>
          <t>Huancayo</t>
        </is>
      </c>
      <c r="B27" s="35" t="inlineStr">
        <is>
          <t>Extinción de Dominio</t>
        </is>
      </c>
      <c r="C27" s="27" t="n"/>
      <c r="D27" s="35" t="inlineStr">
        <is>
          <t>CONCHA CHAVEZ WILIAMAN PERCY</t>
        </is>
      </c>
      <c r="E27" s="21" t="inlineStr">
        <is>
          <t>Varón</t>
        </is>
      </c>
      <c r="F27" s="23" t="inlineStr">
        <is>
          <t>Provisional</t>
        </is>
      </c>
    </row>
    <row r="28">
      <c r="A28" s="42" t="inlineStr">
        <is>
          <t>Huancayo</t>
        </is>
      </c>
      <c r="B28" s="35" t="inlineStr">
        <is>
          <t>Invest. Prep. Corrupción</t>
        </is>
      </c>
      <c r="C28" s="27" t="inlineStr">
        <is>
          <t>5°</t>
        </is>
      </c>
      <c r="D28" s="35" t="inlineStr">
        <is>
          <t>BALDEON QUISPE JULY ELIANE</t>
        </is>
      </c>
      <c r="E28" s="24" t="inlineStr">
        <is>
          <t>Mujer</t>
        </is>
      </c>
      <c r="F28" s="22" t="inlineStr">
        <is>
          <t>Titular</t>
        </is>
      </c>
    </row>
    <row r="29">
      <c r="A29" s="42" t="inlineStr">
        <is>
          <t>Huancayo</t>
        </is>
      </c>
      <c r="B29" s="35" t="inlineStr">
        <is>
          <t>Invest. Prep. Corrupción</t>
        </is>
      </c>
      <c r="C29" s="27" t="inlineStr">
        <is>
          <t>8°</t>
        </is>
      </c>
      <c r="D29" s="35" t="inlineStr">
        <is>
          <t>PALOMINO HUATUCO SAMMY KATHERINE</t>
        </is>
      </c>
      <c r="E29" s="24" t="inlineStr">
        <is>
          <t>Mujer</t>
        </is>
      </c>
      <c r="F29" s="37" t="inlineStr">
        <is>
          <t>Supernumerario</t>
        </is>
      </c>
    </row>
    <row r="30">
      <c r="A30" s="42" t="inlineStr">
        <is>
          <t>Huancayo</t>
        </is>
      </c>
      <c r="B30" s="35" t="inlineStr">
        <is>
          <t>Invest. Prep. Flagrancia</t>
        </is>
      </c>
      <c r="C30" s="27" t="inlineStr">
        <is>
          <t>3°</t>
        </is>
      </c>
      <c r="D30" s="35" t="inlineStr">
        <is>
          <t>GARCIA DEXTRE CLAUDIA BALDRAMINA</t>
        </is>
      </c>
      <c r="E30" s="24" t="inlineStr">
        <is>
          <t>Mujer</t>
        </is>
      </c>
      <c r="F30" s="37" t="inlineStr">
        <is>
          <t>Supernumerario</t>
        </is>
      </c>
    </row>
    <row r="31">
      <c r="A31" s="42" t="inlineStr">
        <is>
          <t>Huancayo</t>
        </is>
      </c>
      <c r="B31" s="35" t="inlineStr">
        <is>
          <t>Invest. Prep. Flagrancia</t>
        </is>
      </c>
      <c r="C31" s="27" t="inlineStr">
        <is>
          <t>4°</t>
        </is>
      </c>
      <c r="D31" s="35" t="inlineStr">
        <is>
          <t>LONGARAY CASTRO ROGER OMAR</t>
        </is>
      </c>
      <c r="E31" s="21" t="inlineStr">
        <is>
          <t>Varón</t>
        </is>
      </c>
      <c r="F31" s="22" t="inlineStr">
        <is>
          <t>Titular</t>
        </is>
      </c>
    </row>
    <row r="32">
      <c r="A32" s="42" t="inlineStr">
        <is>
          <t>Huancayo</t>
        </is>
      </c>
      <c r="B32" s="35" t="inlineStr">
        <is>
          <t>Invest. Prep. VCM</t>
        </is>
      </c>
      <c r="C32" s="27" t="inlineStr">
        <is>
          <t>1°</t>
        </is>
      </c>
      <c r="D32" s="35" t="inlineStr">
        <is>
          <t>GUTIERREZ HUAMAN HOOVER OSCAR</t>
        </is>
      </c>
      <c r="E32" s="21" t="inlineStr">
        <is>
          <t>Varón</t>
        </is>
      </c>
      <c r="F32" s="37" t="inlineStr">
        <is>
          <t>Supernumerario</t>
        </is>
      </c>
    </row>
    <row r="33">
      <c r="A33" s="42" t="inlineStr">
        <is>
          <t>Huancayo</t>
        </is>
      </c>
      <c r="B33" s="35" t="inlineStr">
        <is>
          <t>Invest. Prep. VCM</t>
        </is>
      </c>
      <c r="C33" s="27" t="inlineStr">
        <is>
          <t>2°</t>
        </is>
      </c>
      <c r="D33" s="35" t="inlineStr">
        <is>
          <t>JINES RAFAEL MARIBEL</t>
        </is>
      </c>
      <c r="E33" s="24" t="inlineStr">
        <is>
          <t>Mujer</t>
        </is>
      </c>
      <c r="F33" s="37" t="inlineStr">
        <is>
          <t>Supernumerario</t>
        </is>
      </c>
    </row>
    <row r="34" ht="24" customHeight="1">
      <c r="A34" s="42" t="inlineStr">
        <is>
          <t>Huancayo</t>
        </is>
      </c>
      <c r="B34" s="35" t="inlineStr">
        <is>
          <t>Invest. Prep. VCM</t>
        </is>
      </c>
      <c r="C34" s="27" t="inlineStr">
        <is>
          <t>3°</t>
        </is>
      </c>
      <c r="D34" s="35" t="inlineStr">
        <is>
          <t>ROJAS CHANCASANAMPA MICHAEL HENRY</t>
        </is>
      </c>
      <c r="E34" s="21" t="inlineStr">
        <is>
          <t>Varón</t>
        </is>
      </c>
      <c r="F34" s="37" t="inlineStr">
        <is>
          <t>Supernumerario</t>
        </is>
      </c>
    </row>
    <row r="35">
      <c r="A35" s="42" t="inlineStr">
        <is>
          <t>Huancayo</t>
        </is>
      </c>
      <c r="B35" s="35" t="inlineStr">
        <is>
          <t>Invest. Preparatoria</t>
        </is>
      </c>
      <c r="C35" s="27" t="inlineStr">
        <is>
          <t>1°</t>
        </is>
      </c>
      <c r="D35" s="35" t="inlineStr">
        <is>
          <t>HERRERA RIVAS RAFAEL AGUSTIN</t>
        </is>
      </c>
      <c r="E35" s="21" t="inlineStr">
        <is>
          <t>Varón</t>
        </is>
      </c>
      <c r="F35" s="37" t="inlineStr">
        <is>
          <t>Supernumerario</t>
        </is>
      </c>
    </row>
    <row r="36">
      <c r="A36" s="42" t="inlineStr">
        <is>
          <t>Huancayo</t>
        </is>
      </c>
      <c r="B36" s="35" t="inlineStr">
        <is>
          <t>Invest. Preparatoria</t>
        </is>
      </c>
      <c r="C36" s="27" t="inlineStr">
        <is>
          <t>2°</t>
        </is>
      </c>
      <c r="D36" s="35" t="inlineStr">
        <is>
          <t>BELLO MERLO EVER</t>
        </is>
      </c>
      <c r="E36" s="21" t="inlineStr">
        <is>
          <t>Varón</t>
        </is>
      </c>
      <c r="F36" s="22" t="inlineStr">
        <is>
          <t>Titular</t>
        </is>
      </c>
    </row>
    <row r="37">
      <c r="A37" s="42" t="inlineStr">
        <is>
          <t>Huancayo</t>
        </is>
      </c>
      <c r="B37" s="35" t="inlineStr">
        <is>
          <t>Invest. Preparatoria</t>
        </is>
      </c>
      <c r="C37" s="27" t="inlineStr">
        <is>
          <t>6°</t>
        </is>
      </c>
      <c r="D37" s="35" t="inlineStr">
        <is>
          <t>GUADALUPE ULLOA RUBEN CESARIO</t>
        </is>
      </c>
      <c r="E37" s="21" t="inlineStr">
        <is>
          <t>Varón</t>
        </is>
      </c>
      <c r="F37" s="37" t="inlineStr">
        <is>
          <t>Supernumerario</t>
        </is>
      </c>
    </row>
    <row r="38">
      <c r="A38" s="42" t="inlineStr">
        <is>
          <t>Tarma</t>
        </is>
      </c>
      <c r="B38" s="35" t="inlineStr">
        <is>
          <t>Invest. Prep. Flagrancia</t>
        </is>
      </c>
      <c r="C38" s="27" t="inlineStr">
        <is>
          <t>2°</t>
        </is>
      </c>
      <c r="D38" s="35" t="inlineStr">
        <is>
          <t>CARHUAMACA CLAUDIO ALEX JUAN</t>
        </is>
      </c>
      <c r="E38" s="21" t="inlineStr">
        <is>
          <t>Varón</t>
        </is>
      </c>
      <c r="F38" s="23" t="inlineStr">
        <is>
          <t>Provisional</t>
        </is>
      </c>
    </row>
    <row r="39">
      <c r="A39" s="42" t="inlineStr">
        <is>
          <t>Tarma</t>
        </is>
      </c>
      <c r="B39" s="35" t="inlineStr">
        <is>
          <t>Invest. Preparatoria</t>
        </is>
      </c>
      <c r="C39" s="27" t="inlineStr">
        <is>
          <t>1°</t>
        </is>
      </c>
      <c r="D39" s="35" t="inlineStr">
        <is>
          <t>DIESTRA VIVAR EDGARDO RODOLFO</t>
        </is>
      </c>
      <c r="E39" s="21" t="inlineStr">
        <is>
          <t>Varón</t>
        </is>
      </c>
      <c r="F39" s="22" t="inlineStr">
        <is>
          <t>Titular</t>
        </is>
      </c>
    </row>
    <row r="40">
      <c r="A40" s="42" t="inlineStr">
        <is>
          <t>Jauja</t>
        </is>
      </c>
      <c r="B40" s="35" t="inlineStr">
        <is>
          <t>Invest. Preparatoria</t>
        </is>
      </c>
      <c r="C40" s="27" t="inlineStr">
        <is>
          <t>1°</t>
        </is>
      </c>
      <c r="D40" s="35" t="inlineStr">
        <is>
          <t>PERALTA PAMPA LIZBETH PAOLA</t>
        </is>
      </c>
      <c r="E40" s="24" t="inlineStr">
        <is>
          <t>Mujer</t>
        </is>
      </c>
      <c r="F40" s="22" t="inlineStr">
        <is>
          <t>Titular</t>
        </is>
      </c>
    </row>
    <row r="41">
      <c r="A41" s="42" t="inlineStr">
        <is>
          <t>Jauja</t>
        </is>
      </c>
      <c r="B41" s="35" t="inlineStr">
        <is>
          <t>Invest. Preparatoria</t>
        </is>
      </c>
      <c r="C41" s="27" t="inlineStr">
        <is>
          <t>2°</t>
        </is>
      </c>
      <c r="D41" s="35" t="inlineStr">
        <is>
          <t>HUAMAN CARRASCO SEGUNDO JUAN</t>
        </is>
      </c>
      <c r="E41" s="21" t="inlineStr">
        <is>
          <t>Varón</t>
        </is>
      </c>
      <c r="F41" s="22" t="inlineStr">
        <is>
          <t>Titular</t>
        </is>
      </c>
    </row>
    <row r="42">
      <c r="A42" s="42" t="inlineStr">
        <is>
          <t>Chupaca</t>
        </is>
      </c>
      <c r="B42" s="35" t="inlineStr">
        <is>
          <t>Invest. Preparatoria</t>
        </is>
      </c>
      <c r="C42" s="27" t="n"/>
      <c r="D42" s="35" t="inlineStr">
        <is>
          <t>ZEBALLOS HURTADO GILMAR LEONIDAS</t>
        </is>
      </c>
      <c r="E42" s="21" t="inlineStr">
        <is>
          <t>Varón</t>
        </is>
      </c>
      <c r="F42" s="22" t="inlineStr">
        <is>
          <t>Titular</t>
        </is>
      </c>
    </row>
    <row r="43">
      <c r="A43" s="42" t="inlineStr">
        <is>
          <t>Concepción</t>
        </is>
      </c>
      <c r="B43" s="35" t="inlineStr">
        <is>
          <t>Invest. Preparatoria</t>
        </is>
      </c>
      <c r="C43" s="27" t="n"/>
      <c r="D43" s="35" t="inlineStr">
        <is>
          <t>PALOMINO LEON FIDEL HUGO</t>
        </is>
      </c>
      <c r="E43" s="21" t="inlineStr">
        <is>
          <t>Varón</t>
        </is>
      </c>
      <c r="F43" s="22" t="inlineStr">
        <is>
          <t>Titular</t>
        </is>
      </c>
    </row>
    <row r="44">
      <c r="A44" s="42" t="inlineStr">
        <is>
          <t>Yauli</t>
        </is>
      </c>
      <c r="B44" s="35" t="inlineStr">
        <is>
          <t>Invest. Preparatoria</t>
        </is>
      </c>
      <c r="C44" s="27" t="n"/>
      <c r="D44" s="35" t="inlineStr">
        <is>
          <t>SANTANA ANTEZANA MARIA ELENA</t>
        </is>
      </c>
      <c r="E44" s="24" t="inlineStr">
        <is>
          <t>Mujer</t>
        </is>
      </c>
      <c r="F44" s="22" t="inlineStr">
        <is>
          <t>Titular</t>
        </is>
      </c>
    </row>
    <row r="45">
      <c r="A45" s="42" t="inlineStr">
        <is>
          <t>Junín</t>
        </is>
      </c>
      <c r="B45" s="35" t="inlineStr">
        <is>
          <t>Invest. Preparatoria</t>
        </is>
      </c>
      <c r="C45" s="27" t="n"/>
      <c r="D45" s="35" t="inlineStr">
        <is>
          <t>CALIZAYA HUALPA RUBEN TOMAS</t>
        </is>
      </c>
      <c r="E45" s="21" t="inlineStr">
        <is>
          <t>Varón</t>
        </is>
      </c>
      <c r="F45" s="22" t="inlineStr">
        <is>
          <t>Titular</t>
        </is>
      </c>
    </row>
    <row r="46">
      <c r="A46" s="42" t="inlineStr">
        <is>
          <t>Tayacaja</t>
        </is>
      </c>
      <c r="B46" s="35" t="inlineStr">
        <is>
          <t>Invest. Preparatoria</t>
        </is>
      </c>
      <c r="C46" s="27" t="n"/>
      <c r="D46" s="35" t="inlineStr">
        <is>
          <t>MATOS CENTENO JOSE LEONEL</t>
        </is>
      </c>
      <c r="E46" s="21" t="inlineStr">
        <is>
          <t>Varón</t>
        </is>
      </c>
      <c r="F46" s="23" t="inlineStr">
        <is>
          <t>Provisional</t>
        </is>
      </c>
    </row>
    <row r="48" ht="18" customHeight="1">
      <c r="A48" s="86" t="inlineStr">
        <is>
          <t>JUP — Juzgado Unipersonal / Especializado  (54 magistrados)</t>
        </is>
      </c>
      <c r="B48" s="100" t="n"/>
      <c r="C48" s="100" t="n"/>
      <c r="D48" s="100" t="n"/>
      <c r="E48" s="100" t="n"/>
      <c r="F48" s="100" t="n"/>
    </row>
    <row r="49">
      <c r="A49" s="40" t="inlineStr">
        <is>
          <t>PROVINCIA</t>
        </is>
      </c>
      <c r="B49" s="40" t="inlineStr">
        <is>
          <t>ESPECIALIDAD</t>
        </is>
      </c>
      <c r="C49" s="40" t="inlineStr">
        <is>
          <t>N°</t>
        </is>
      </c>
      <c r="D49" s="40" t="inlineStr">
        <is>
          <t>MAGISTRADO</t>
        </is>
      </c>
      <c r="E49" s="40" t="inlineStr">
        <is>
          <t>SEXO</t>
        </is>
      </c>
      <c r="F49" s="40" t="inlineStr">
        <is>
          <t>CONDICIÓN</t>
        </is>
      </c>
    </row>
    <row r="50">
      <c r="A50" s="43" t="inlineStr">
        <is>
          <t>Huancayo</t>
        </is>
      </c>
      <c r="B50" s="35" t="inlineStr">
        <is>
          <t>Civil</t>
        </is>
      </c>
      <c r="C50" s="27" t="inlineStr">
        <is>
          <t>1°</t>
        </is>
      </c>
      <c r="D50" s="35" t="inlineStr">
        <is>
          <t>VICUÑA ZAMORA JESUS</t>
        </is>
      </c>
      <c r="E50" s="21" t="inlineStr">
        <is>
          <t>Varón</t>
        </is>
      </c>
      <c r="F50" s="22" t="inlineStr">
        <is>
          <t>Titular</t>
        </is>
      </c>
    </row>
    <row r="51">
      <c r="A51" s="43" t="inlineStr">
        <is>
          <t>Huancayo</t>
        </is>
      </c>
      <c r="B51" s="35" t="inlineStr">
        <is>
          <t>Civil</t>
        </is>
      </c>
      <c r="C51" s="27" t="inlineStr">
        <is>
          <t>2°</t>
        </is>
      </c>
      <c r="D51" s="35" t="inlineStr">
        <is>
          <t>BUSTAMANTE VERA JORGE ENRIQUE</t>
        </is>
      </c>
      <c r="E51" s="21" t="inlineStr">
        <is>
          <t>Varón</t>
        </is>
      </c>
      <c r="F51" s="22" t="inlineStr">
        <is>
          <t>Titular</t>
        </is>
      </c>
    </row>
    <row r="52">
      <c r="A52" s="43" t="inlineStr">
        <is>
          <t>Huancayo</t>
        </is>
      </c>
      <c r="B52" s="35" t="inlineStr">
        <is>
          <t>Civil</t>
        </is>
      </c>
      <c r="C52" s="27" t="inlineStr">
        <is>
          <t>3°</t>
        </is>
      </c>
      <c r="D52" s="35" t="inlineStr">
        <is>
          <t>ARMAS INGA ESTRELLA</t>
        </is>
      </c>
      <c r="E52" s="24" t="inlineStr">
        <is>
          <t>Mujer</t>
        </is>
      </c>
      <c r="F52" s="22" t="inlineStr">
        <is>
          <t>Titular</t>
        </is>
      </c>
    </row>
    <row r="53">
      <c r="A53" s="43" t="inlineStr">
        <is>
          <t>Huancayo</t>
        </is>
      </c>
      <c r="B53" s="35" t="inlineStr">
        <is>
          <t>Civil</t>
        </is>
      </c>
      <c r="C53" s="27" t="inlineStr">
        <is>
          <t>4°</t>
        </is>
      </c>
      <c r="D53" s="35" t="inlineStr">
        <is>
          <t>BELTRAN GUZMAN ERICH JOHAN</t>
        </is>
      </c>
      <c r="E53" s="21" t="inlineStr">
        <is>
          <t>Varón</t>
        </is>
      </c>
      <c r="F53" s="37" t="inlineStr">
        <is>
          <t>Supernumerario</t>
        </is>
      </c>
    </row>
    <row r="54">
      <c r="A54" s="43" t="inlineStr">
        <is>
          <t>Huancayo</t>
        </is>
      </c>
      <c r="B54" s="35" t="inlineStr">
        <is>
          <t>Civil</t>
        </is>
      </c>
      <c r="C54" s="27" t="inlineStr">
        <is>
          <t>5°</t>
        </is>
      </c>
      <c r="D54" s="35" t="inlineStr">
        <is>
          <t>MANTARI MOLINA MANUEL</t>
        </is>
      </c>
      <c r="E54" s="21" t="inlineStr">
        <is>
          <t>Varón</t>
        </is>
      </c>
      <c r="F54" s="37" t="inlineStr">
        <is>
          <t>Supernumerario</t>
        </is>
      </c>
    </row>
    <row r="55">
      <c r="A55" s="43" t="inlineStr">
        <is>
          <t>Huancayo</t>
        </is>
      </c>
      <c r="B55" s="35" t="inlineStr">
        <is>
          <t>Comercial</t>
        </is>
      </c>
      <c r="C55" s="27" t="n"/>
      <c r="D55" s="35" t="inlineStr">
        <is>
          <t>TORRES ALTEZ DANTE REYNALDO</t>
        </is>
      </c>
      <c r="E55" s="21" t="inlineStr">
        <is>
          <t>Varón</t>
        </is>
      </c>
      <c r="F55" s="37" t="inlineStr">
        <is>
          <t>Supernumerario</t>
        </is>
      </c>
    </row>
    <row r="56">
      <c r="A56" s="43" t="inlineStr">
        <is>
          <t>Huancayo</t>
        </is>
      </c>
      <c r="B56" s="35" t="inlineStr">
        <is>
          <t>Constitucional</t>
        </is>
      </c>
      <c r="C56" s="27" t="n"/>
      <c r="D56" s="35" t="inlineStr">
        <is>
          <t>CAJINCHO YAÑEZ DORIS</t>
        </is>
      </c>
      <c r="E56" s="24" t="inlineStr">
        <is>
          <t>Mujer</t>
        </is>
      </c>
      <c r="F56" s="37" t="inlineStr">
        <is>
          <t>Supernumerario</t>
        </is>
      </c>
    </row>
    <row r="57">
      <c r="A57" s="43" t="inlineStr">
        <is>
          <t>Huancayo</t>
        </is>
      </c>
      <c r="B57" s="35" t="inlineStr">
        <is>
          <t>Familia</t>
        </is>
      </c>
      <c r="C57" s="27" t="inlineStr">
        <is>
          <t>1°</t>
        </is>
      </c>
      <c r="D57" s="35" t="inlineStr">
        <is>
          <t>CORILLA BAQUERIZO JENIS AIDA</t>
        </is>
      </c>
      <c r="E57" s="24" t="inlineStr">
        <is>
          <t>Mujer</t>
        </is>
      </c>
      <c r="F57" s="37" t="inlineStr">
        <is>
          <t>Supernumerario</t>
        </is>
      </c>
    </row>
    <row r="58">
      <c r="A58" s="43" t="inlineStr">
        <is>
          <t>Huancayo</t>
        </is>
      </c>
      <c r="B58" s="35" t="inlineStr">
        <is>
          <t>Familia</t>
        </is>
      </c>
      <c r="C58" s="27" t="inlineStr">
        <is>
          <t>2°</t>
        </is>
      </c>
      <c r="D58" s="35" t="inlineStr">
        <is>
          <t>OLIVERA MONTERO IRMA ROSA</t>
        </is>
      </c>
      <c r="E58" s="24" t="inlineStr">
        <is>
          <t>Mujer</t>
        </is>
      </c>
      <c r="F58" s="23" t="inlineStr">
        <is>
          <t>Provisional</t>
        </is>
      </c>
    </row>
    <row r="59">
      <c r="A59" s="43" t="inlineStr">
        <is>
          <t>Huancayo</t>
        </is>
      </c>
      <c r="B59" s="35" t="inlineStr">
        <is>
          <t>Familia</t>
        </is>
      </c>
      <c r="C59" s="27" t="inlineStr">
        <is>
          <t>3°</t>
        </is>
      </c>
      <c r="D59" s="35" t="inlineStr">
        <is>
          <t>MONDARGO MARTINEZ NEDER ELIAS</t>
        </is>
      </c>
      <c r="E59" s="21" t="inlineStr">
        <is>
          <t>Varón</t>
        </is>
      </c>
      <c r="F59" s="37" t="inlineStr">
        <is>
          <t>Supernumerario</t>
        </is>
      </c>
    </row>
    <row r="60">
      <c r="A60" s="43" t="inlineStr">
        <is>
          <t>Huancayo</t>
        </is>
      </c>
      <c r="B60" s="35" t="inlineStr">
        <is>
          <t>Familia</t>
        </is>
      </c>
      <c r="C60" s="27" t="inlineStr">
        <is>
          <t>4°</t>
        </is>
      </c>
      <c r="D60" s="35" t="inlineStr">
        <is>
          <t>ALVARADO PEREZ JUANA VIRGINIA</t>
        </is>
      </c>
      <c r="E60" s="24" t="inlineStr">
        <is>
          <t>Mujer</t>
        </is>
      </c>
      <c r="F60" s="23" t="inlineStr">
        <is>
          <t>Provisional</t>
        </is>
      </c>
    </row>
    <row r="61">
      <c r="A61" s="43" t="inlineStr">
        <is>
          <t>Huancayo</t>
        </is>
      </c>
      <c r="B61" s="35" t="inlineStr">
        <is>
          <t>Familia VCM</t>
        </is>
      </c>
      <c r="C61" s="27" t="inlineStr">
        <is>
          <t>10°</t>
        </is>
      </c>
      <c r="D61" s="35" t="inlineStr">
        <is>
          <t>AUQUI HUERTA TEOFANES EDGAR</t>
        </is>
      </c>
      <c r="E61" s="21" t="inlineStr">
        <is>
          <t>Varón</t>
        </is>
      </c>
      <c r="F61" s="23" t="inlineStr">
        <is>
          <t>Provisional</t>
        </is>
      </c>
    </row>
    <row r="62">
      <c r="A62" s="43" t="inlineStr">
        <is>
          <t>Huancayo</t>
        </is>
      </c>
      <c r="B62" s="35" t="inlineStr">
        <is>
          <t>Familia VCM</t>
        </is>
      </c>
      <c r="C62" s="27" t="inlineStr">
        <is>
          <t>5°</t>
        </is>
      </c>
      <c r="D62" s="35" t="inlineStr">
        <is>
          <t>SUASNABAR TOLENTINO LUIS RICARDO</t>
        </is>
      </c>
      <c r="E62" s="21" t="inlineStr">
        <is>
          <t>Varón</t>
        </is>
      </c>
      <c r="F62" s="23" t="inlineStr">
        <is>
          <t>Provisional</t>
        </is>
      </c>
    </row>
    <row r="63">
      <c r="A63" s="43" t="inlineStr">
        <is>
          <t>Huancayo</t>
        </is>
      </c>
      <c r="B63" s="35" t="inlineStr">
        <is>
          <t>Familia VCM</t>
        </is>
      </c>
      <c r="C63" s="27" t="inlineStr">
        <is>
          <t>6°</t>
        </is>
      </c>
      <c r="D63" s="35" t="inlineStr">
        <is>
          <t>MORALES MONTES GRACIELA</t>
        </is>
      </c>
      <c r="E63" s="24" t="inlineStr">
        <is>
          <t>Mujer</t>
        </is>
      </c>
      <c r="F63" s="23" t="inlineStr">
        <is>
          <t>Provisional</t>
        </is>
      </c>
    </row>
    <row r="64">
      <c r="A64" s="43" t="inlineStr">
        <is>
          <t>Huancayo</t>
        </is>
      </c>
      <c r="B64" s="35" t="inlineStr">
        <is>
          <t>Familia VCM</t>
        </is>
      </c>
      <c r="C64" s="27" t="inlineStr">
        <is>
          <t>7°</t>
        </is>
      </c>
      <c r="D64" s="35" t="inlineStr">
        <is>
          <t>BALDEON GAMARRA ANGELA BEATRIZ</t>
        </is>
      </c>
      <c r="E64" s="24" t="inlineStr">
        <is>
          <t>Mujer</t>
        </is>
      </c>
      <c r="F64" s="23" t="inlineStr">
        <is>
          <t>Provisional</t>
        </is>
      </c>
    </row>
    <row r="65">
      <c r="A65" s="43" t="inlineStr">
        <is>
          <t>Huancayo</t>
        </is>
      </c>
      <c r="B65" s="35" t="inlineStr">
        <is>
          <t>Familia VCM</t>
        </is>
      </c>
      <c r="C65" s="27" t="inlineStr">
        <is>
          <t>8°</t>
        </is>
      </c>
      <c r="D65" s="35" t="inlineStr">
        <is>
          <t>TORRES DELGADO EDWIN VICTOR</t>
        </is>
      </c>
      <c r="E65" s="21" t="inlineStr">
        <is>
          <t>Varón</t>
        </is>
      </c>
      <c r="F65" s="23" t="inlineStr">
        <is>
          <t>Provisional</t>
        </is>
      </c>
    </row>
    <row r="66">
      <c r="A66" s="43" t="inlineStr">
        <is>
          <t>Huancayo</t>
        </is>
      </c>
      <c r="B66" s="35" t="inlineStr">
        <is>
          <t>Familia VCM</t>
        </is>
      </c>
      <c r="C66" s="27" t="inlineStr">
        <is>
          <t>9°</t>
        </is>
      </c>
      <c r="D66" s="35" t="inlineStr">
        <is>
          <t>CARHUAMACA QUISPE GABRIELA</t>
        </is>
      </c>
      <c r="E66" s="24" t="inlineStr">
        <is>
          <t>Mujer</t>
        </is>
      </c>
      <c r="F66" s="37" t="inlineStr">
        <is>
          <t>Supernumerario</t>
        </is>
      </c>
    </row>
    <row r="67">
      <c r="A67" s="43" t="inlineStr">
        <is>
          <t>Huancayo</t>
        </is>
      </c>
      <c r="B67" s="35" t="inlineStr">
        <is>
          <t>Penal Colegiado</t>
        </is>
      </c>
      <c r="C67" s="27" t="n"/>
      <c r="D67" s="35" t="inlineStr">
        <is>
          <t>TEVES VALDEZ NICK</t>
        </is>
      </c>
      <c r="E67" s="21" t="inlineStr">
        <is>
          <t>Varón</t>
        </is>
      </c>
      <c r="F67" s="22" t="inlineStr">
        <is>
          <t>Titular</t>
        </is>
      </c>
    </row>
    <row r="68">
      <c r="A68" s="43" t="inlineStr">
        <is>
          <t>Huancayo</t>
        </is>
      </c>
      <c r="B68" s="35" t="inlineStr">
        <is>
          <t>Penal Colegiado Trans. VCM</t>
        </is>
      </c>
      <c r="C68" s="27" t="inlineStr">
        <is>
          <t>1°</t>
        </is>
      </c>
      <c r="D68" s="35" t="inlineStr">
        <is>
          <t>YUPANQUI PEREZ CINTHIA MILAGROS</t>
        </is>
      </c>
      <c r="E68" s="24" t="inlineStr">
        <is>
          <t>Mujer</t>
        </is>
      </c>
      <c r="F68" s="37" t="inlineStr">
        <is>
          <t>Supernumerario</t>
        </is>
      </c>
    </row>
    <row r="69">
      <c r="A69" s="43" t="inlineStr">
        <is>
          <t>Huancayo</t>
        </is>
      </c>
      <c r="B69" s="35" t="inlineStr">
        <is>
          <t>Penal Colegiado Trans. VCM</t>
        </is>
      </c>
      <c r="C69" s="27" t="inlineStr">
        <is>
          <t>2°</t>
        </is>
      </c>
      <c r="D69" s="35" t="inlineStr">
        <is>
          <t>CAMARENA MADRID WILDER WALTER</t>
        </is>
      </c>
      <c r="E69" s="21" t="inlineStr">
        <is>
          <t>Varón</t>
        </is>
      </c>
      <c r="F69" s="37" t="inlineStr">
        <is>
          <t>Supernumerario</t>
        </is>
      </c>
    </row>
    <row r="70" ht="24" customHeight="1">
      <c r="A70" s="43" t="inlineStr">
        <is>
          <t>Huancayo</t>
        </is>
      </c>
      <c r="B70" s="35" t="inlineStr">
        <is>
          <t>Penal Unip. Corrupción</t>
        </is>
      </c>
      <c r="C70" s="27" t="inlineStr">
        <is>
          <t>5°</t>
        </is>
      </c>
      <c r="D70" s="35" t="inlineStr">
        <is>
          <t>ALEJANDRO HUANUCO ROSEMARIE CLEMENCIA</t>
        </is>
      </c>
      <c r="E70" s="24" t="inlineStr">
        <is>
          <t>Mujer</t>
        </is>
      </c>
      <c r="F70" s="37" t="inlineStr">
        <is>
          <t>Supernumerario</t>
        </is>
      </c>
    </row>
    <row r="71">
      <c r="A71" s="43" t="inlineStr">
        <is>
          <t>Huancayo</t>
        </is>
      </c>
      <c r="B71" s="35" t="inlineStr">
        <is>
          <t>Penal Unip. Corrupción</t>
        </is>
      </c>
      <c r="C71" s="27" t="inlineStr">
        <is>
          <t>6°</t>
        </is>
      </c>
      <c r="D71" s="35" t="inlineStr">
        <is>
          <t>ARROYO AMES GUIDO REYNALDO</t>
        </is>
      </c>
      <c r="E71" s="21" t="inlineStr">
        <is>
          <t>Varón</t>
        </is>
      </c>
      <c r="F71" s="22" t="inlineStr">
        <is>
          <t>Titular</t>
        </is>
      </c>
    </row>
    <row r="72" ht="24" customHeight="1">
      <c r="A72" s="43" t="inlineStr">
        <is>
          <t>Huancayo</t>
        </is>
      </c>
      <c r="B72" s="35" t="inlineStr">
        <is>
          <t>Penal Unip. VCM</t>
        </is>
      </c>
      <c r="C72" s="27" t="inlineStr">
        <is>
          <t>1°</t>
        </is>
      </c>
      <c r="D72" s="35" t="inlineStr">
        <is>
          <t>CASTILLO GONZALES EMPERATRIZ VICTORIA</t>
        </is>
      </c>
      <c r="E72" s="24" t="inlineStr">
        <is>
          <t>Mujer</t>
        </is>
      </c>
      <c r="F72" s="37" t="inlineStr">
        <is>
          <t>Supernumerario</t>
        </is>
      </c>
    </row>
    <row r="73" ht="24" customHeight="1">
      <c r="A73" s="43" t="inlineStr">
        <is>
          <t>Huancayo</t>
        </is>
      </c>
      <c r="B73" s="35" t="inlineStr">
        <is>
          <t>Penal Unip. VCM</t>
        </is>
      </c>
      <c r="C73" s="27" t="inlineStr">
        <is>
          <t>2°</t>
        </is>
      </c>
      <c r="D73" s="35" t="inlineStr">
        <is>
          <t>CHUQUIPUIMA RICSE MERCEDES GEORGINA</t>
        </is>
      </c>
      <c r="E73" s="24" t="inlineStr">
        <is>
          <t>Mujer</t>
        </is>
      </c>
      <c r="F73" s="37" t="inlineStr">
        <is>
          <t>Supernumerario</t>
        </is>
      </c>
    </row>
    <row r="74">
      <c r="A74" s="43" t="inlineStr">
        <is>
          <t>Huancayo</t>
        </is>
      </c>
      <c r="B74" s="35" t="inlineStr">
        <is>
          <t>Penal Unip. VCM</t>
        </is>
      </c>
      <c r="C74" s="27" t="inlineStr">
        <is>
          <t>3°</t>
        </is>
      </c>
      <c r="D74" s="35" t="inlineStr">
        <is>
          <t>OBLITAS CEVALLOS LUIS ROLANDO</t>
        </is>
      </c>
      <c r="E74" s="21" t="inlineStr">
        <is>
          <t>Varón</t>
        </is>
      </c>
      <c r="F74" s="37" t="inlineStr">
        <is>
          <t>Supernumerario</t>
        </is>
      </c>
    </row>
    <row r="75">
      <c r="A75" s="43" t="inlineStr">
        <is>
          <t>Huancayo</t>
        </is>
      </c>
      <c r="B75" s="35" t="inlineStr">
        <is>
          <t>Penal Unipersonal</t>
        </is>
      </c>
      <c r="C75" s="27" t="inlineStr">
        <is>
          <t>1°</t>
        </is>
      </c>
      <c r="D75" s="35" t="inlineStr">
        <is>
          <t>RODRIGUEZ LIZANA RAFAEL</t>
        </is>
      </c>
      <c r="E75" s="21" t="inlineStr">
        <is>
          <t>Varón</t>
        </is>
      </c>
      <c r="F75" s="22" t="inlineStr">
        <is>
          <t>Titular</t>
        </is>
      </c>
    </row>
    <row r="76">
      <c r="A76" s="43" t="inlineStr">
        <is>
          <t>Huancayo</t>
        </is>
      </c>
      <c r="B76" s="35" t="inlineStr">
        <is>
          <t>Penal Unipersonal</t>
        </is>
      </c>
      <c r="C76" s="27" t="inlineStr">
        <is>
          <t>2°</t>
        </is>
      </c>
      <c r="D76" s="35" t="inlineStr">
        <is>
          <t>GONZALES ORE YONNY ALBINO</t>
        </is>
      </c>
      <c r="E76" s="21" t="inlineStr">
        <is>
          <t>Varón</t>
        </is>
      </c>
      <c r="F76" s="37" t="inlineStr">
        <is>
          <t>Supernumerario</t>
        </is>
      </c>
    </row>
    <row r="77">
      <c r="A77" s="43" t="inlineStr">
        <is>
          <t>Huancayo</t>
        </is>
      </c>
      <c r="B77" s="35" t="inlineStr">
        <is>
          <t>Penal Unipersonal</t>
        </is>
      </c>
      <c r="C77" s="27" t="inlineStr">
        <is>
          <t>3°</t>
        </is>
      </c>
      <c r="D77" s="35" t="inlineStr">
        <is>
          <t>PALOMINO PRADO RICHARD</t>
        </is>
      </c>
      <c r="E77" s="21" t="inlineStr">
        <is>
          <t>Varón</t>
        </is>
      </c>
      <c r="F77" s="22" t="inlineStr">
        <is>
          <t>Titular</t>
        </is>
      </c>
    </row>
    <row r="78">
      <c r="A78" s="43" t="inlineStr">
        <is>
          <t>Huancayo</t>
        </is>
      </c>
      <c r="B78" s="35" t="inlineStr">
        <is>
          <t>Penal Unipersonal</t>
        </is>
      </c>
      <c r="C78" s="27" t="inlineStr">
        <is>
          <t>4°</t>
        </is>
      </c>
      <c r="D78" s="35" t="inlineStr">
        <is>
          <t>FERNÁNDEZ ORDOÑEZ AMPARO</t>
        </is>
      </c>
      <c r="E78" s="24" t="inlineStr">
        <is>
          <t>Mujer</t>
        </is>
      </c>
      <c r="F78" s="37" t="inlineStr">
        <is>
          <t>Supernumerario</t>
        </is>
      </c>
    </row>
    <row r="79">
      <c r="A79" s="43" t="inlineStr">
        <is>
          <t>Huancayo</t>
        </is>
      </c>
      <c r="B79" s="35" t="inlineStr">
        <is>
          <t>Trabajo</t>
        </is>
      </c>
      <c r="C79" s="27" t="inlineStr">
        <is>
          <t>1°</t>
        </is>
      </c>
      <c r="D79" s="35" t="inlineStr">
        <is>
          <t>ALVA RICALDI PAUL FAUSTINO</t>
        </is>
      </c>
      <c r="E79" s="21" t="inlineStr">
        <is>
          <t>Varón</t>
        </is>
      </c>
      <c r="F79" s="37" t="inlineStr">
        <is>
          <t>Supernumerario</t>
        </is>
      </c>
    </row>
    <row r="80">
      <c r="A80" s="43" t="inlineStr">
        <is>
          <t>Huancayo</t>
        </is>
      </c>
      <c r="B80" s="35" t="inlineStr">
        <is>
          <t>Trabajo</t>
        </is>
      </c>
      <c r="C80" s="27" t="inlineStr">
        <is>
          <t>2°</t>
        </is>
      </c>
      <c r="D80" s="35" t="inlineStr">
        <is>
          <t>CHANCO CASTILLON ESAU</t>
        </is>
      </c>
      <c r="E80" s="21" t="inlineStr">
        <is>
          <t>Varón</t>
        </is>
      </c>
      <c r="F80" s="22" t="inlineStr">
        <is>
          <t>Titular</t>
        </is>
      </c>
    </row>
    <row r="81">
      <c r="A81" s="43" t="inlineStr">
        <is>
          <t>Huancayo</t>
        </is>
      </c>
      <c r="B81" s="35" t="inlineStr">
        <is>
          <t>Trabajo</t>
        </is>
      </c>
      <c r="C81" s="27" t="inlineStr">
        <is>
          <t>3°</t>
        </is>
      </c>
      <c r="D81" s="35" t="inlineStr">
        <is>
          <t>QUINTEROS CARLOS LETICIA</t>
        </is>
      </c>
      <c r="E81" s="24" t="inlineStr">
        <is>
          <t>Mujer</t>
        </is>
      </c>
      <c r="F81" s="22" t="inlineStr">
        <is>
          <t>Titular</t>
        </is>
      </c>
    </row>
    <row r="82">
      <c r="A82" s="43" t="inlineStr">
        <is>
          <t>Huancayo</t>
        </is>
      </c>
      <c r="B82" s="35" t="inlineStr">
        <is>
          <t>Trabajo</t>
        </is>
      </c>
      <c r="C82" s="27" t="inlineStr">
        <is>
          <t>4°</t>
        </is>
      </c>
      <c r="D82" s="35" t="inlineStr">
        <is>
          <t>GOMEZ BAZALAR IRIS EDITH</t>
        </is>
      </c>
      <c r="E82" s="24" t="inlineStr">
        <is>
          <t>Mujer</t>
        </is>
      </c>
      <c r="F82" s="23" t="inlineStr">
        <is>
          <t>Provisional</t>
        </is>
      </c>
    </row>
    <row r="83">
      <c r="A83" s="43" t="inlineStr">
        <is>
          <t>Huancayo</t>
        </is>
      </c>
      <c r="B83" s="35" t="inlineStr">
        <is>
          <t>Trabajo Trans.</t>
        </is>
      </c>
      <c r="C83" s="27" t="n"/>
      <c r="D83" s="35" t="inlineStr">
        <is>
          <t>ARTEAGA FERNANDEZ ISAAC ARTURO</t>
        </is>
      </c>
      <c r="E83" s="21" t="inlineStr">
        <is>
          <t>Varón</t>
        </is>
      </c>
      <c r="F83" s="37" t="inlineStr">
        <is>
          <t>Supernumerario</t>
        </is>
      </c>
    </row>
    <row r="84">
      <c r="A84" s="43" t="inlineStr">
        <is>
          <t>Tarma</t>
        </is>
      </c>
      <c r="B84" s="35" t="inlineStr">
        <is>
          <t>Civil</t>
        </is>
      </c>
      <c r="C84" s="27" t="n"/>
      <c r="D84" s="35" t="inlineStr">
        <is>
          <t>PEÑA TORRES EVGUENI</t>
        </is>
      </c>
      <c r="E84" s="21" t="inlineStr">
        <is>
          <t>Varón</t>
        </is>
      </c>
      <c r="F84" s="22" t="inlineStr">
        <is>
          <t>Titular</t>
        </is>
      </c>
    </row>
    <row r="85">
      <c r="A85" s="43" t="inlineStr">
        <is>
          <t>Tarma</t>
        </is>
      </c>
      <c r="B85" s="35" t="inlineStr">
        <is>
          <t>Familia VCM</t>
        </is>
      </c>
      <c r="C85" s="27" t="n"/>
      <c r="D85" s="35" t="inlineStr">
        <is>
          <t>ROJAS LAZARO WILLIAM RAUL</t>
        </is>
      </c>
      <c r="E85" s="21" t="inlineStr">
        <is>
          <t>Varón</t>
        </is>
      </c>
      <c r="F85" s="23" t="inlineStr">
        <is>
          <t>Provisional</t>
        </is>
      </c>
    </row>
    <row r="86">
      <c r="A86" s="43" t="inlineStr">
        <is>
          <t>Tarma</t>
        </is>
      </c>
      <c r="B86" s="35" t="inlineStr">
        <is>
          <t>Penal Unipersonal</t>
        </is>
      </c>
      <c r="C86" s="27" t="inlineStr">
        <is>
          <t>1°</t>
        </is>
      </c>
      <c r="D86" s="35" t="inlineStr">
        <is>
          <t>CACHAY ROJAS MARIA DOLORES</t>
        </is>
      </c>
      <c r="E86" s="24" t="inlineStr">
        <is>
          <t>Mujer</t>
        </is>
      </c>
      <c r="F86" s="22" t="inlineStr">
        <is>
          <t>Titular</t>
        </is>
      </c>
    </row>
    <row r="87">
      <c r="A87" s="43" t="inlineStr">
        <is>
          <t>Tarma</t>
        </is>
      </c>
      <c r="B87" s="35" t="inlineStr">
        <is>
          <t>Penal Unipersonal</t>
        </is>
      </c>
      <c r="C87" s="27" t="inlineStr">
        <is>
          <t>2°</t>
        </is>
      </c>
      <c r="D87" s="35" t="inlineStr">
        <is>
          <t>QUISPE VILCAPOMA RICHARTH</t>
        </is>
      </c>
      <c r="E87" s="21" t="inlineStr">
        <is>
          <t>Varón</t>
        </is>
      </c>
      <c r="F87" s="22" t="inlineStr">
        <is>
          <t>Titular</t>
        </is>
      </c>
    </row>
    <row r="88">
      <c r="A88" s="43" t="inlineStr">
        <is>
          <t>Tarma</t>
        </is>
      </c>
      <c r="B88" s="35" t="inlineStr">
        <is>
          <t>Penal Unipersonal</t>
        </is>
      </c>
      <c r="C88" s="27" t="inlineStr">
        <is>
          <t>3°</t>
        </is>
      </c>
      <c r="D88" s="35" t="inlineStr">
        <is>
          <t>VILLANUEVA ALTAMIRANO EDWIN WILSON</t>
        </is>
      </c>
      <c r="E88" s="21" t="inlineStr">
        <is>
          <t>Varón</t>
        </is>
      </c>
      <c r="F88" s="22" t="inlineStr">
        <is>
          <t>Titular</t>
        </is>
      </c>
    </row>
    <row r="89">
      <c r="A89" s="43" t="inlineStr">
        <is>
          <t>Jauja</t>
        </is>
      </c>
      <c r="B89" s="35" t="inlineStr">
        <is>
          <t>Civil</t>
        </is>
      </c>
      <c r="C89" s="27" t="n"/>
      <c r="D89" s="35" t="inlineStr">
        <is>
          <t>BORDA VARGAS ITALO ARTURO</t>
        </is>
      </c>
      <c r="E89" s="21" t="inlineStr">
        <is>
          <t>Varón</t>
        </is>
      </c>
      <c r="F89" s="22" t="inlineStr">
        <is>
          <t>Titular</t>
        </is>
      </c>
    </row>
    <row r="90">
      <c r="A90" s="43" t="inlineStr">
        <is>
          <t>Jauja</t>
        </is>
      </c>
      <c r="B90" s="35" t="inlineStr">
        <is>
          <t>Familia</t>
        </is>
      </c>
      <c r="C90" s="27" t="n"/>
      <c r="D90" s="35" t="inlineStr">
        <is>
          <t>RUCABADO ROMERO BLANCA NORMA</t>
        </is>
      </c>
      <c r="E90" s="24" t="inlineStr">
        <is>
          <t>Mujer</t>
        </is>
      </c>
      <c r="F90" s="23" t="inlineStr">
        <is>
          <t>Provisional</t>
        </is>
      </c>
    </row>
    <row r="91">
      <c r="A91" s="43" t="inlineStr">
        <is>
          <t>Jauja</t>
        </is>
      </c>
      <c r="B91" s="35" t="inlineStr">
        <is>
          <t>Penal Unipersonal</t>
        </is>
      </c>
      <c r="C91" s="27" t="inlineStr">
        <is>
          <t>1°</t>
        </is>
      </c>
      <c r="D91" s="35" t="inlineStr">
        <is>
          <t>PINO PUMA HENRY</t>
        </is>
      </c>
      <c r="E91" s="21" t="inlineStr">
        <is>
          <t>Varón</t>
        </is>
      </c>
      <c r="F91" s="22" t="inlineStr">
        <is>
          <t>Titular</t>
        </is>
      </c>
    </row>
    <row r="92">
      <c r="A92" s="43" t="inlineStr">
        <is>
          <t>Jauja</t>
        </is>
      </c>
      <c r="B92" s="35" t="inlineStr">
        <is>
          <t>Penal Unipersonal</t>
        </is>
      </c>
      <c r="C92" s="27" t="inlineStr">
        <is>
          <t>2°</t>
        </is>
      </c>
      <c r="D92" s="35" t="inlineStr">
        <is>
          <t>ARROYO VELITA HUGO</t>
        </is>
      </c>
      <c r="E92" s="21" t="inlineStr">
        <is>
          <t>Varón</t>
        </is>
      </c>
      <c r="F92" s="22" t="inlineStr">
        <is>
          <t>Titular</t>
        </is>
      </c>
    </row>
    <row r="93">
      <c r="A93" s="43" t="inlineStr">
        <is>
          <t>Chupaca</t>
        </is>
      </c>
      <c r="B93" s="35" t="inlineStr">
        <is>
          <t>Civil</t>
        </is>
      </c>
      <c r="C93" s="27" t="n"/>
      <c r="D93" s="35" t="inlineStr">
        <is>
          <t>LUQUE PINTO JORGE RENE</t>
        </is>
      </c>
      <c r="E93" s="21" t="inlineStr">
        <is>
          <t>Varón</t>
        </is>
      </c>
      <c r="F93" s="22" t="inlineStr">
        <is>
          <t>Titular</t>
        </is>
      </c>
    </row>
    <row r="94">
      <c r="A94" s="43" t="inlineStr">
        <is>
          <t>Chupaca</t>
        </is>
      </c>
      <c r="B94" s="35" t="inlineStr">
        <is>
          <t>Civil Mixto Trans.</t>
        </is>
      </c>
      <c r="C94" s="27" t="n"/>
      <c r="D94" s="35" t="inlineStr">
        <is>
          <t>JIMÉNEZ PATIÑO HENRY JUAN</t>
        </is>
      </c>
      <c r="E94" s="21" t="inlineStr">
        <is>
          <t>Varón</t>
        </is>
      </c>
      <c r="F94" s="37" t="inlineStr">
        <is>
          <t>Supernumerario</t>
        </is>
      </c>
    </row>
    <row r="95">
      <c r="A95" s="43" t="inlineStr">
        <is>
          <t>Chupaca</t>
        </is>
      </c>
      <c r="B95" s="35" t="inlineStr">
        <is>
          <t>Penal Unipersonal</t>
        </is>
      </c>
      <c r="C95" s="27" t="n"/>
      <c r="D95" s="35" t="inlineStr">
        <is>
          <t>CURIÑAUPA MEDINA MARIO LUIS</t>
        </is>
      </c>
      <c r="E95" s="21" t="inlineStr">
        <is>
          <t>Varón</t>
        </is>
      </c>
      <c r="F95" s="22" t="inlineStr">
        <is>
          <t>Titular</t>
        </is>
      </c>
    </row>
    <row r="96">
      <c r="A96" s="43" t="inlineStr">
        <is>
          <t>Concepción</t>
        </is>
      </c>
      <c r="B96" s="35" t="inlineStr">
        <is>
          <t>Civil</t>
        </is>
      </c>
      <c r="C96" s="27" t="n"/>
      <c r="D96" s="35" t="inlineStr">
        <is>
          <t>ROJAS MORALES NADIA</t>
        </is>
      </c>
      <c r="E96" s="24" t="inlineStr">
        <is>
          <t>Mujer</t>
        </is>
      </c>
      <c r="F96" s="37" t="inlineStr">
        <is>
          <t>Supernumerario</t>
        </is>
      </c>
    </row>
    <row r="97">
      <c r="A97" s="43" t="inlineStr">
        <is>
          <t>Concepción</t>
        </is>
      </c>
      <c r="B97" s="35" t="inlineStr">
        <is>
          <t>Penal Unipersonal</t>
        </is>
      </c>
      <c r="C97" s="27" t="n"/>
      <c r="D97" s="35" t="inlineStr">
        <is>
          <t>LANDEO ALVAREZ FERNAN OLAVO</t>
        </is>
      </c>
      <c r="E97" s="21" t="inlineStr">
        <is>
          <t>Varón</t>
        </is>
      </c>
      <c r="F97" s="23" t="inlineStr">
        <is>
          <t>Provisional</t>
        </is>
      </c>
    </row>
    <row r="98">
      <c r="A98" s="43" t="inlineStr">
        <is>
          <t>Yauli</t>
        </is>
      </c>
      <c r="B98" s="35" t="inlineStr">
        <is>
          <t>Civil</t>
        </is>
      </c>
      <c r="C98" s="27" t="n"/>
      <c r="D98" s="35" t="inlineStr">
        <is>
          <t>SANTANA SOCUALAYA JESUS</t>
        </is>
      </c>
      <c r="E98" s="21" t="inlineStr">
        <is>
          <t>Varón</t>
        </is>
      </c>
      <c r="F98" s="22" t="inlineStr">
        <is>
          <t>Titular</t>
        </is>
      </c>
    </row>
    <row r="99">
      <c r="A99" s="43" t="inlineStr">
        <is>
          <t>Yauli</t>
        </is>
      </c>
      <c r="B99" s="35" t="inlineStr">
        <is>
          <t>Penal Unipersonal</t>
        </is>
      </c>
      <c r="C99" s="27" t="n"/>
      <c r="D99" s="35" t="inlineStr">
        <is>
          <t>LLAMOCA MILLA SONIA AURORA</t>
        </is>
      </c>
      <c r="E99" s="24" t="inlineStr">
        <is>
          <t>Mujer</t>
        </is>
      </c>
      <c r="F99" s="22" t="inlineStr">
        <is>
          <t>Titular</t>
        </is>
      </c>
    </row>
    <row r="100">
      <c r="A100" s="43" t="inlineStr">
        <is>
          <t>Junín</t>
        </is>
      </c>
      <c r="B100" s="35" t="inlineStr">
        <is>
          <t>Civil</t>
        </is>
      </c>
      <c r="C100" s="27" t="n"/>
      <c r="D100" s="35" t="inlineStr">
        <is>
          <t>CORZO HINOJOSA SAUL YUNISHIRO</t>
        </is>
      </c>
      <c r="E100" s="21" t="inlineStr">
        <is>
          <t>Varón</t>
        </is>
      </c>
      <c r="F100" s="37" t="inlineStr">
        <is>
          <t>Supernumerario</t>
        </is>
      </c>
    </row>
    <row r="101">
      <c r="A101" s="43" t="inlineStr">
        <is>
          <t>Junín</t>
        </is>
      </c>
      <c r="B101" s="35" t="inlineStr">
        <is>
          <t>Penal Unipersonal</t>
        </is>
      </c>
      <c r="C101" s="27" t="n"/>
      <c r="D101" s="35" t="inlineStr">
        <is>
          <t>CASTILLO RIVERA ELMER</t>
        </is>
      </c>
      <c r="E101" s="21" t="inlineStr">
        <is>
          <t>Varón</t>
        </is>
      </c>
      <c r="F101" s="22" t="inlineStr">
        <is>
          <t>Titular</t>
        </is>
      </c>
    </row>
    <row r="102">
      <c r="A102" s="43" t="inlineStr">
        <is>
          <t>Tayacaja</t>
        </is>
      </c>
      <c r="B102" s="35" t="inlineStr">
        <is>
          <t>Civil</t>
        </is>
      </c>
      <c r="C102" s="27" t="n"/>
      <c r="D102" s="35" t="inlineStr">
        <is>
          <t>LLALLICO MANZANEDO ALBERTO HENRY</t>
        </is>
      </c>
      <c r="E102" s="21" t="inlineStr">
        <is>
          <t>Varón</t>
        </is>
      </c>
      <c r="F102" s="37" t="inlineStr">
        <is>
          <t>Supernumerario</t>
        </is>
      </c>
    </row>
    <row r="103">
      <c r="A103" s="43" t="inlineStr">
        <is>
          <t>Tayacaja</t>
        </is>
      </c>
      <c r="B103" s="35" t="inlineStr">
        <is>
          <t>Penal Unipersonal</t>
        </is>
      </c>
      <c r="C103" s="27" t="n"/>
      <c r="D103" s="35" t="inlineStr">
        <is>
          <t>PINEDA CHAVEZ ROXANA</t>
        </is>
      </c>
      <c r="E103" s="24" t="inlineStr">
        <is>
          <t>Mujer</t>
        </is>
      </c>
      <c r="F103" s="22" t="inlineStr">
        <is>
          <t>Titular</t>
        </is>
      </c>
    </row>
    <row r="105" ht="18" customHeight="1">
      <c r="A105" s="91" t="inlineStr">
        <is>
          <t>SALA — Sala Superior  (7 magistrados)</t>
        </is>
      </c>
      <c r="B105" s="100" t="n"/>
      <c r="C105" s="100" t="n"/>
      <c r="D105" s="100" t="n"/>
      <c r="E105" s="100" t="n"/>
      <c r="F105" s="100" t="n"/>
    </row>
    <row r="106">
      <c r="A106" s="40" t="inlineStr">
        <is>
          <t>PROVINCIA</t>
        </is>
      </c>
      <c r="B106" s="40" t="inlineStr">
        <is>
          <t>ESPECIALIDAD</t>
        </is>
      </c>
      <c r="C106" s="40" t="inlineStr">
        <is>
          <t>N°</t>
        </is>
      </c>
      <c r="D106" s="40" t="inlineStr">
        <is>
          <t>MAGISTRADO</t>
        </is>
      </c>
      <c r="E106" s="40" t="inlineStr">
        <is>
          <t>SEXO</t>
        </is>
      </c>
      <c r="F106" s="40" t="inlineStr">
        <is>
          <t>CONDICIÓN</t>
        </is>
      </c>
    </row>
    <row r="107">
      <c r="A107" s="44" t="inlineStr">
        <is>
          <t>Huancayo</t>
        </is>
      </c>
      <c r="B107" s="35" t="inlineStr">
        <is>
          <t>Civil</t>
        </is>
      </c>
      <c r="C107" s="27" t="n"/>
      <c r="D107" s="35" t="inlineStr">
        <is>
          <t>ORIHUELA ABREGU ALEXANDER</t>
        </is>
      </c>
      <c r="E107" s="21" t="inlineStr">
        <is>
          <t>Varón</t>
        </is>
      </c>
      <c r="F107" s="22" t="inlineStr">
        <is>
          <t>Titular</t>
        </is>
      </c>
    </row>
    <row r="108">
      <c r="A108" s="44" t="inlineStr">
        <is>
          <t>Huancayo</t>
        </is>
      </c>
      <c r="B108" s="35" t="inlineStr">
        <is>
          <t>Laboral</t>
        </is>
      </c>
      <c r="C108" s="27" t="inlineStr">
        <is>
          <t>1°</t>
        </is>
      </c>
      <c r="D108" s="35" t="inlineStr">
        <is>
          <t>CRISTOVAL DE LA CRUZ TIMOTEO</t>
        </is>
      </c>
      <c r="E108" s="21" t="inlineStr">
        <is>
          <t>Varón</t>
        </is>
      </c>
      <c r="F108" s="22" t="inlineStr">
        <is>
          <t>Titular</t>
        </is>
      </c>
    </row>
    <row r="109">
      <c r="A109" s="44" t="inlineStr">
        <is>
          <t>Huancayo</t>
        </is>
      </c>
      <c r="B109" s="35" t="inlineStr">
        <is>
          <t>Laboral</t>
        </is>
      </c>
      <c r="C109" s="27" t="inlineStr">
        <is>
          <t>2°</t>
        </is>
      </c>
      <c r="D109" s="35" t="inlineStr">
        <is>
          <t>QUISPE PARICAHUA CLETO MARCIAL</t>
        </is>
      </c>
      <c r="E109" s="21" t="inlineStr">
        <is>
          <t>Varón</t>
        </is>
      </c>
      <c r="F109" s="22" t="inlineStr">
        <is>
          <t>Titular</t>
        </is>
      </c>
    </row>
    <row r="110">
      <c r="A110" s="44" t="inlineStr">
        <is>
          <t>Huancayo</t>
        </is>
      </c>
      <c r="B110" s="35" t="inlineStr">
        <is>
          <t>Penal Apelaciones</t>
        </is>
      </c>
      <c r="C110" s="27" t="inlineStr">
        <is>
          <t>1°</t>
        </is>
      </c>
      <c r="D110" s="35" t="inlineStr">
        <is>
          <t>CHIPANA GUILLEN WALTER</t>
        </is>
      </c>
      <c r="E110" s="21" t="inlineStr">
        <is>
          <t>Varón</t>
        </is>
      </c>
      <c r="F110" s="22" t="inlineStr">
        <is>
          <t>Titular</t>
        </is>
      </c>
    </row>
    <row r="111">
      <c r="A111" s="44" t="inlineStr">
        <is>
          <t>Huancayo</t>
        </is>
      </c>
      <c r="B111" s="35" t="inlineStr">
        <is>
          <t>Penal Apelaciones</t>
        </is>
      </c>
      <c r="C111" s="27" t="inlineStr">
        <is>
          <t>2°</t>
        </is>
      </c>
      <c r="D111" s="35" t="inlineStr">
        <is>
          <t>CARVO CASTRO CARLOS ABRAHAM</t>
        </is>
      </c>
      <c r="E111" s="21" t="inlineStr">
        <is>
          <t>Varón</t>
        </is>
      </c>
      <c r="F111" s="23" t="inlineStr">
        <is>
          <t>Provisional</t>
        </is>
      </c>
    </row>
    <row r="112" ht="24" customHeight="1">
      <c r="A112" s="44" t="inlineStr">
        <is>
          <t>Huancayo</t>
        </is>
      </c>
      <c r="B112" s="35" t="inlineStr">
        <is>
          <t>Penal Apelaciones Corrupción</t>
        </is>
      </c>
      <c r="C112" s="27" t="n"/>
      <c r="D112" s="35" t="inlineStr">
        <is>
          <t>RODRIGUEZ HUAMANI CRISTOBAL EDUARDO</t>
        </is>
      </c>
      <c r="E112" s="21" t="inlineStr">
        <is>
          <t>Varón</t>
        </is>
      </c>
      <c r="F112" s="22" t="inlineStr">
        <is>
          <t>Titular</t>
        </is>
      </c>
    </row>
    <row r="113">
      <c r="A113" s="44" t="inlineStr">
        <is>
          <t>Tarma</t>
        </is>
      </c>
      <c r="B113" s="35" t="inlineStr">
        <is>
          <t>Mixta</t>
        </is>
      </c>
      <c r="C113" s="27" t="n"/>
      <c r="D113" s="35" t="inlineStr">
        <is>
          <t>OLIVERA GUERRA NICK</t>
        </is>
      </c>
      <c r="E113" s="21" t="inlineStr">
        <is>
          <t>Varón</t>
        </is>
      </c>
      <c r="F113" s="22" t="inlineStr">
        <is>
          <t>Titular</t>
        </is>
      </c>
    </row>
    <row r="116" ht="15" customHeight="1">
      <c r="A116" s="89" t="inlineStr">
        <is>
          <t>LEYENDA — Condición: T=Titular | S=Supernumerario | P=Provisional     Sexo: M=Varón | F=Mujer</t>
        </is>
      </c>
    </row>
  </sheetData>
  <mergeCells count="6">
    <mergeCell ref="A2:F2"/>
    <mergeCell ref="A116:F116"/>
    <mergeCell ref="A1:F1"/>
    <mergeCell ref="A105:F105"/>
    <mergeCell ref="A48:F48"/>
    <mergeCell ref="A25:F25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 codeName="Hoja7">
    <tabColor theme="5" tint="0.5999938962981048"/>
    <outlinePr summaryBelow="1" summaryRight="1"/>
    <pageSetUpPr/>
  </sheetPr>
  <dimension ref="A1:I123"/>
  <sheetViews>
    <sheetView topLeftCell="A50" zoomScaleNormal="100" workbookViewId="0">
      <selection activeCell="O53" sqref="O53"/>
    </sheetView>
  </sheetViews>
  <sheetFormatPr baseColWidth="10" defaultColWidth="8.7109375" defaultRowHeight="15"/>
  <cols>
    <col width="14" customWidth="1" style="2" min="1" max="1"/>
    <col width="20" customWidth="1" style="2" min="2" max="2"/>
    <col width="10" customWidth="1" style="2" min="3" max="3"/>
    <col width="22" customWidth="1" style="2" min="4" max="4"/>
    <col width="6" customWidth="1" style="2" min="5" max="5"/>
    <col width="38" customWidth="1" style="2" min="6" max="6"/>
    <col width="8" customWidth="1" style="2" min="7" max="7"/>
    <col width="11" customWidth="1" style="2" min="8" max="8"/>
    <col width="18" customWidth="1" style="2" min="9" max="9"/>
    <col width="8.7109375" customWidth="1" style="2" min="10" max="16384"/>
  </cols>
  <sheetData>
    <row r="1" ht="21.75" customHeight="1">
      <c r="A1" s="78" t="inlineStr">
        <is>
          <t>MAGISTRADOS CSJJ — DATA PLANA PARA DASHBOARD</t>
        </is>
      </c>
    </row>
    <row r="2" ht="24" customHeight="1">
      <c r="A2" s="45" t="inlineStr">
        <is>
          <t>PROVINCIA</t>
        </is>
      </c>
      <c r="B2" s="45" t="inlineStr">
        <is>
          <t>SEDE_LOCALIDAD</t>
        </is>
      </c>
      <c r="C2" s="45" t="inlineStr">
        <is>
          <t>TIPO_ORGANO</t>
        </is>
      </c>
      <c r="D2" s="45" t="inlineStr">
        <is>
          <t>ESPECIALIDAD</t>
        </is>
      </c>
      <c r="E2" s="45" t="inlineStr">
        <is>
          <t>NUMERO</t>
        </is>
      </c>
      <c r="F2" s="45" t="inlineStr">
        <is>
          <t>NOMBRE_COMPLETO</t>
        </is>
      </c>
      <c r="G2" s="45" t="inlineStr">
        <is>
          <t>SEXO</t>
        </is>
      </c>
      <c r="H2" s="45" t="inlineStr">
        <is>
          <t>CONDICION</t>
        </is>
      </c>
      <c r="I2" s="45" t="inlineStr">
        <is>
          <t>CONDICION_LABEL</t>
        </is>
      </c>
    </row>
    <row r="3">
      <c r="A3" s="46" t="inlineStr">
        <is>
          <t>Huancayo</t>
        </is>
      </c>
      <c r="B3" s="35" t="inlineStr">
        <is>
          <t>Huancayo</t>
        </is>
      </c>
      <c r="C3" s="41" t="inlineStr">
        <is>
          <t>SALA</t>
        </is>
      </c>
      <c r="D3" s="35" t="inlineStr">
        <is>
          <t>Penal Apelaciones</t>
        </is>
      </c>
      <c r="E3" s="27" t="inlineStr">
        <is>
          <t>1°</t>
        </is>
      </c>
      <c r="F3" s="35" t="inlineStr">
        <is>
          <t>CHIPANA GUILLEN WALTER</t>
        </is>
      </c>
      <c r="G3" s="24" t="inlineStr">
        <is>
          <t>Varón</t>
        </is>
      </c>
      <c r="H3" s="37" t="inlineStr">
        <is>
          <t>T</t>
        </is>
      </c>
      <c r="I3" s="37" t="inlineStr">
        <is>
          <t>Titular</t>
        </is>
      </c>
    </row>
    <row r="4">
      <c r="A4" s="46" t="inlineStr">
        <is>
          <t>Huancayo</t>
        </is>
      </c>
      <c r="B4" s="35" t="inlineStr">
        <is>
          <t>Huancayo</t>
        </is>
      </c>
      <c r="C4" s="41" t="inlineStr">
        <is>
          <t>SALA</t>
        </is>
      </c>
      <c r="D4" s="35" t="inlineStr">
        <is>
          <t>Penal Apelaciones</t>
        </is>
      </c>
      <c r="E4" s="27" t="inlineStr">
        <is>
          <t>1°</t>
        </is>
      </c>
      <c r="F4" s="35" t="inlineStr">
        <is>
          <t>CARRERA TUPAC YUPANQUI SUSAN LETTY</t>
        </is>
      </c>
      <c r="G4" s="21" t="inlineStr">
        <is>
          <t>Mujer</t>
        </is>
      </c>
      <c r="H4" s="37" t="inlineStr">
        <is>
          <t>S</t>
        </is>
      </c>
      <c r="I4" s="37" t="inlineStr">
        <is>
          <t>Supernumerario</t>
        </is>
      </c>
    </row>
    <row r="5">
      <c r="A5" s="46" t="inlineStr">
        <is>
          <t>Huancayo</t>
        </is>
      </c>
      <c r="B5" s="35" t="inlineStr">
        <is>
          <t>Huancayo</t>
        </is>
      </c>
      <c r="C5" s="41" t="inlineStr">
        <is>
          <t>SALA</t>
        </is>
      </c>
      <c r="D5" s="35" t="inlineStr">
        <is>
          <t>Penal Apelaciones</t>
        </is>
      </c>
      <c r="E5" s="27" t="inlineStr">
        <is>
          <t>1°</t>
        </is>
      </c>
      <c r="F5" s="35" t="inlineStr">
        <is>
          <t>MEZA REYES ROBERTO JOHN</t>
        </is>
      </c>
      <c r="G5" s="24" t="inlineStr">
        <is>
          <t>Varón</t>
        </is>
      </c>
      <c r="H5" s="37" t="inlineStr">
        <is>
          <t>P</t>
        </is>
      </c>
      <c r="I5" s="37" t="inlineStr">
        <is>
          <t>Provisional</t>
        </is>
      </c>
    </row>
    <row r="6">
      <c r="A6" s="46" t="inlineStr">
        <is>
          <t>Huancayo</t>
        </is>
      </c>
      <c r="B6" s="35" t="inlineStr">
        <is>
          <t>Huancayo</t>
        </is>
      </c>
      <c r="C6" s="41" t="inlineStr">
        <is>
          <t>SALA</t>
        </is>
      </c>
      <c r="D6" s="35" t="inlineStr">
        <is>
          <t>Penal Apelaciones</t>
        </is>
      </c>
      <c r="E6" s="27" t="inlineStr">
        <is>
          <t>2°</t>
        </is>
      </c>
      <c r="F6" s="35" t="inlineStr">
        <is>
          <t>CARVO CASTRO CARLOS ABRAHAM</t>
        </is>
      </c>
      <c r="G6" s="24" t="inlineStr">
        <is>
          <t>Varón</t>
        </is>
      </c>
      <c r="H6" s="37" t="inlineStr">
        <is>
          <t>T</t>
        </is>
      </c>
      <c r="I6" s="37" t="inlineStr">
        <is>
          <t>Titular</t>
        </is>
      </c>
    </row>
    <row r="7">
      <c r="A7" s="46" t="inlineStr">
        <is>
          <t>Huancayo</t>
        </is>
      </c>
      <c r="B7" s="35" t="inlineStr">
        <is>
          <t>Huancayo</t>
        </is>
      </c>
      <c r="C7" s="41" t="inlineStr">
        <is>
          <t>SALA</t>
        </is>
      </c>
      <c r="D7" s="35" t="inlineStr">
        <is>
          <t>Penal Apelaciones</t>
        </is>
      </c>
      <c r="E7" s="27" t="inlineStr">
        <is>
          <t>2°</t>
        </is>
      </c>
      <c r="F7" s="35" t="inlineStr">
        <is>
          <t>ARIAS ALFARO MIGUEL ANGEL</t>
        </is>
      </c>
      <c r="G7" s="21" t="inlineStr">
        <is>
          <t>Varón</t>
        </is>
      </c>
      <c r="H7" s="22" t="inlineStr">
        <is>
          <t>S</t>
        </is>
      </c>
      <c r="I7" s="22" t="inlineStr">
        <is>
          <t>Supernumerario</t>
        </is>
      </c>
    </row>
    <row r="8">
      <c r="A8" s="46" t="inlineStr">
        <is>
          <t>Huancayo</t>
        </is>
      </c>
      <c r="B8" s="35" t="inlineStr">
        <is>
          <t>Huancayo</t>
        </is>
      </c>
      <c r="C8" s="41" t="inlineStr">
        <is>
          <t>SALA</t>
        </is>
      </c>
      <c r="D8" s="35" t="inlineStr">
        <is>
          <t>Penal Apelaciones</t>
        </is>
      </c>
      <c r="E8" s="27" t="inlineStr">
        <is>
          <t>2°</t>
        </is>
      </c>
      <c r="F8" s="35" t="inlineStr">
        <is>
          <t>QUISPE CAMA OMAR ATILIO</t>
        </is>
      </c>
      <c r="G8" s="21" t="inlineStr">
        <is>
          <t>Varón</t>
        </is>
      </c>
      <c r="H8" s="37" t="inlineStr">
        <is>
          <t>P</t>
        </is>
      </c>
      <c r="I8" s="37" t="inlineStr">
        <is>
          <t>Provisional</t>
        </is>
      </c>
    </row>
    <row r="9" ht="24" customHeight="1">
      <c r="A9" s="46" t="inlineStr">
        <is>
          <t>Huancayo</t>
        </is>
      </c>
      <c r="B9" s="35" t="inlineStr">
        <is>
          <t>Huancayo</t>
        </is>
      </c>
      <c r="C9" s="41" t="inlineStr">
        <is>
          <t>SALA</t>
        </is>
      </c>
      <c r="D9" s="35" t="inlineStr">
        <is>
          <t>Penal Apel. Corrupción</t>
        </is>
      </c>
      <c r="E9" s="27" t="n"/>
      <c r="F9" s="35" t="inlineStr">
        <is>
          <t>RODRIGUEZ HUAMANI CRISTOBAL EDUARDO</t>
        </is>
      </c>
      <c r="G9" s="24" t="inlineStr">
        <is>
          <t>Varón</t>
        </is>
      </c>
      <c r="H9" s="22" t="inlineStr">
        <is>
          <t>T</t>
        </is>
      </c>
      <c r="I9" s="22" t="inlineStr">
        <is>
          <t>Titular</t>
        </is>
      </c>
    </row>
    <row r="10">
      <c r="A10" s="46" t="inlineStr">
        <is>
          <t>Huancayo</t>
        </is>
      </c>
      <c r="B10" s="35" t="inlineStr">
        <is>
          <t>Huancayo</t>
        </is>
      </c>
      <c r="C10" s="41" t="inlineStr">
        <is>
          <t>SALA</t>
        </is>
      </c>
      <c r="D10" s="35" t="inlineStr">
        <is>
          <t>Penal Apel. Corrupción</t>
        </is>
      </c>
      <c r="E10" s="27" t="n"/>
      <c r="F10" s="35" t="inlineStr">
        <is>
          <t>TAMBINI VIVAS LILLIAM ROSALIA</t>
        </is>
      </c>
      <c r="G10" s="24" t="inlineStr">
        <is>
          <t>Mujer</t>
        </is>
      </c>
      <c r="H10" s="37" t="inlineStr">
        <is>
          <t>S</t>
        </is>
      </c>
      <c r="I10" s="37" t="inlineStr">
        <is>
          <t>Supernumerario</t>
        </is>
      </c>
    </row>
    <row r="11">
      <c r="A11" s="46" t="inlineStr">
        <is>
          <t>Huancayo</t>
        </is>
      </c>
      <c r="B11" s="35" t="inlineStr">
        <is>
          <t>Huancayo</t>
        </is>
      </c>
      <c r="C11" s="41" t="inlineStr">
        <is>
          <t>SALA</t>
        </is>
      </c>
      <c r="D11" s="35" t="inlineStr">
        <is>
          <t>Penal Apel. Corrupción</t>
        </is>
      </c>
      <c r="E11" s="27" t="n"/>
      <c r="F11" s="35" t="inlineStr">
        <is>
          <t>MACHUCA URBINA DANIEL</t>
        </is>
      </c>
      <c r="G11" s="24" t="inlineStr">
        <is>
          <t>Varón</t>
        </is>
      </c>
      <c r="H11" s="37" t="inlineStr">
        <is>
          <t>P</t>
        </is>
      </c>
      <c r="I11" s="37" t="inlineStr">
        <is>
          <t>Provisional</t>
        </is>
      </c>
    </row>
    <row r="12">
      <c r="A12" s="46" t="inlineStr">
        <is>
          <t>Huancayo</t>
        </is>
      </c>
      <c r="B12" s="35" t="inlineStr">
        <is>
          <t>Huancayo</t>
        </is>
      </c>
      <c r="C12" s="41" t="inlineStr">
        <is>
          <t>SALA</t>
        </is>
      </c>
      <c r="D12" s="35" t="inlineStr">
        <is>
          <t>Civil</t>
        </is>
      </c>
      <c r="E12" s="27" t="n"/>
      <c r="F12" s="35" t="inlineStr">
        <is>
          <t>ORIHUELA ABREGU ALEXANDER</t>
        </is>
      </c>
      <c r="G12" s="24" t="inlineStr">
        <is>
          <t>Varón</t>
        </is>
      </c>
      <c r="H12" s="37" t="inlineStr">
        <is>
          <t>T</t>
        </is>
      </c>
      <c r="I12" s="37" t="inlineStr">
        <is>
          <t>Titular</t>
        </is>
      </c>
    </row>
    <row r="13">
      <c r="A13" s="46" t="inlineStr">
        <is>
          <t>Huancayo</t>
        </is>
      </c>
      <c r="B13" s="35" t="inlineStr">
        <is>
          <t>Huancayo</t>
        </is>
      </c>
      <c r="C13" s="41" t="inlineStr">
        <is>
          <t>SALA</t>
        </is>
      </c>
      <c r="D13" s="35" t="inlineStr">
        <is>
          <t>Civil</t>
        </is>
      </c>
      <c r="E13" s="27" t="n"/>
      <c r="F13" s="35" t="inlineStr">
        <is>
          <t>CARDENAS VILLEGAS MIRIAM LUZ</t>
        </is>
      </c>
      <c r="G13" s="24" t="inlineStr">
        <is>
          <t>Mujer</t>
        </is>
      </c>
      <c r="H13" s="37" t="inlineStr">
        <is>
          <t>S</t>
        </is>
      </c>
      <c r="I13" s="37" t="inlineStr">
        <is>
          <t>Supernumerario</t>
        </is>
      </c>
    </row>
    <row r="14">
      <c r="A14" s="46" t="inlineStr">
        <is>
          <t>Huancayo</t>
        </is>
      </c>
      <c r="B14" s="35" t="inlineStr">
        <is>
          <t>Huancayo</t>
        </is>
      </c>
      <c r="C14" s="41" t="inlineStr">
        <is>
          <t>SALA</t>
        </is>
      </c>
      <c r="D14" s="35" t="inlineStr">
        <is>
          <t>Civil</t>
        </is>
      </c>
      <c r="E14" s="27" t="n"/>
      <c r="F14" s="35" t="inlineStr">
        <is>
          <t>CARDENAS PUENTE TERESA</t>
        </is>
      </c>
      <c r="G14" s="24" t="inlineStr">
        <is>
          <t>Mujer</t>
        </is>
      </c>
      <c r="H14" s="37" t="inlineStr">
        <is>
          <t>P</t>
        </is>
      </c>
      <c r="I14" s="37" t="inlineStr">
        <is>
          <t>Provisional</t>
        </is>
      </c>
    </row>
    <row r="15">
      <c r="A15" s="46" t="inlineStr">
        <is>
          <t>Huancayo</t>
        </is>
      </c>
      <c r="B15" s="35" t="inlineStr">
        <is>
          <t>Huancayo</t>
        </is>
      </c>
      <c r="C15" s="41" t="inlineStr">
        <is>
          <t>SALA</t>
        </is>
      </c>
      <c r="D15" s="35" t="inlineStr">
        <is>
          <t>Laboral</t>
        </is>
      </c>
      <c r="E15" s="27" t="inlineStr">
        <is>
          <t>1°</t>
        </is>
      </c>
      <c r="F15" s="35" t="inlineStr">
        <is>
          <t>CRISTOVAL DE LA CRUZ TIMOTEO</t>
        </is>
      </c>
      <c r="G15" s="21" t="inlineStr">
        <is>
          <t>Varón</t>
        </is>
      </c>
      <c r="H15" s="37" t="inlineStr">
        <is>
          <t>T</t>
        </is>
      </c>
      <c r="I15" s="37" t="inlineStr">
        <is>
          <t>Titular</t>
        </is>
      </c>
    </row>
    <row r="16">
      <c r="A16" s="46" t="inlineStr">
        <is>
          <t>Huancayo</t>
        </is>
      </c>
      <c r="B16" s="35" t="inlineStr">
        <is>
          <t>Huancayo</t>
        </is>
      </c>
      <c r="C16" s="41" t="inlineStr">
        <is>
          <t>SALA</t>
        </is>
      </c>
      <c r="D16" s="35" t="inlineStr">
        <is>
          <t>Laboral</t>
        </is>
      </c>
      <c r="E16" s="27" t="inlineStr">
        <is>
          <t>1°</t>
        </is>
      </c>
      <c r="F16" s="35" t="inlineStr">
        <is>
          <t>AVILA HUAMAN NEIL ERWIN</t>
        </is>
      </c>
      <c r="G16" s="21" t="inlineStr">
        <is>
          <t>Varón</t>
        </is>
      </c>
      <c r="H16" s="37" t="inlineStr">
        <is>
          <t>S</t>
        </is>
      </c>
      <c r="I16" s="37" t="inlineStr">
        <is>
          <t>Supernumerario</t>
        </is>
      </c>
    </row>
    <row r="17">
      <c r="A17" s="46" t="inlineStr">
        <is>
          <t>Huancayo</t>
        </is>
      </c>
      <c r="B17" s="35" t="inlineStr">
        <is>
          <t>Huancayo</t>
        </is>
      </c>
      <c r="C17" s="41" t="inlineStr">
        <is>
          <t>SALA</t>
        </is>
      </c>
      <c r="D17" s="35" t="inlineStr">
        <is>
          <t>Laboral</t>
        </is>
      </c>
      <c r="E17" s="27" t="inlineStr">
        <is>
          <t>1°</t>
        </is>
      </c>
      <c r="F17" s="35" t="inlineStr">
        <is>
          <t>URIOL ASTO EDUARDO ANSELMO</t>
        </is>
      </c>
      <c r="G17" s="21" t="inlineStr">
        <is>
          <t>Varón</t>
        </is>
      </c>
      <c r="H17" s="37" t="inlineStr">
        <is>
          <t>P</t>
        </is>
      </c>
      <c r="I17" s="37" t="inlineStr">
        <is>
          <t>Provisional</t>
        </is>
      </c>
    </row>
    <row r="18">
      <c r="A18" s="46" t="inlineStr">
        <is>
          <t>Huancayo</t>
        </is>
      </c>
      <c r="B18" s="35" t="inlineStr">
        <is>
          <t>Huancayo</t>
        </is>
      </c>
      <c r="C18" s="41" t="inlineStr">
        <is>
          <t>SALA</t>
        </is>
      </c>
      <c r="D18" s="35" t="inlineStr">
        <is>
          <t>Laboral</t>
        </is>
      </c>
      <c r="E18" s="27" t="inlineStr">
        <is>
          <t>2°</t>
        </is>
      </c>
      <c r="F18" s="35" t="inlineStr">
        <is>
          <t>QUISPE PARICAHUA CLETO MARCIAL</t>
        </is>
      </c>
      <c r="G18" s="21" t="inlineStr">
        <is>
          <t>Varón</t>
        </is>
      </c>
      <c r="H18" s="37" t="inlineStr">
        <is>
          <t>T</t>
        </is>
      </c>
      <c r="I18" s="37" t="inlineStr">
        <is>
          <t>Titular</t>
        </is>
      </c>
    </row>
    <row r="19">
      <c r="A19" s="46" t="inlineStr">
        <is>
          <t>Huancayo</t>
        </is>
      </c>
      <c r="B19" s="35" t="inlineStr">
        <is>
          <t>Huancayo</t>
        </is>
      </c>
      <c r="C19" s="41" t="inlineStr">
        <is>
          <t>SALA</t>
        </is>
      </c>
      <c r="D19" s="35" t="inlineStr">
        <is>
          <t>Laboral</t>
        </is>
      </c>
      <c r="E19" s="27" t="inlineStr">
        <is>
          <t>2°</t>
        </is>
      </c>
      <c r="F19" s="35" t="inlineStr">
        <is>
          <t>SAMANIEGO CORNELIO LUIS MIGUEL</t>
        </is>
      </c>
      <c r="G19" s="24" t="inlineStr">
        <is>
          <t>Varón</t>
        </is>
      </c>
      <c r="H19" s="37" t="inlineStr">
        <is>
          <t>S</t>
        </is>
      </c>
      <c r="I19" s="37" t="inlineStr">
        <is>
          <t>Supernumerario</t>
        </is>
      </c>
    </row>
    <row r="20">
      <c r="A20" s="46" t="inlineStr">
        <is>
          <t>Huancayo</t>
        </is>
      </c>
      <c r="B20" s="35" t="inlineStr">
        <is>
          <t>Huancayo</t>
        </is>
      </c>
      <c r="C20" s="41" t="inlineStr">
        <is>
          <t>SALA</t>
        </is>
      </c>
      <c r="D20" s="35" t="inlineStr">
        <is>
          <t>Laboral</t>
        </is>
      </c>
      <c r="E20" s="27" t="inlineStr">
        <is>
          <t>2°</t>
        </is>
      </c>
      <c r="F20" s="35" t="inlineStr">
        <is>
          <t>CARHUANCHO MUCHA CARLOS RICHAR</t>
        </is>
      </c>
      <c r="G20" s="21" t="inlineStr">
        <is>
          <t>Varón</t>
        </is>
      </c>
      <c r="H20" s="37" t="inlineStr">
        <is>
          <t>P</t>
        </is>
      </c>
      <c r="I20" s="37" t="inlineStr">
        <is>
          <t>Provisional</t>
        </is>
      </c>
    </row>
    <row r="21">
      <c r="A21" s="46" t="inlineStr">
        <is>
          <t>Tarma</t>
        </is>
      </c>
      <c r="B21" s="35" t="inlineStr">
        <is>
          <t>Tarma</t>
        </is>
      </c>
      <c r="C21" s="41" t="inlineStr">
        <is>
          <t>SALA</t>
        </is>
      </c>
      <c r="D21" s="35" t="inlineStr">
        <is>
          <t>Mixta</t>
        </is>
      </c>
      <c r="E21" s="27" t="n"/>
      <c r="F21" s="35" t="inlineStr">
        <is>
          <t>OLIVERA GUERRA NICK</t>
        </is>
      </c>
      <c r="G21" s="21" t="inlineStr">
        <is>
          <t>Varón</t>
        </is>
      </c>
      <c r="H21" s="37" t="inlineStr">
        <is>
          <t>T</t>
        </is>
      </c>
      <c r="I21" s="37" t="inlineStr">
        <is>
          <t>Titular</t>
        </is>
      </c>
    </row>
    <row r="22">
      <c r="A22" s="46" t="inlineStr">
        <is>
          <t>Tarma</t>
        </is>
      </c>
      <c r="B22" s="35" t="inlineStr">
        <is>
          <t>Tarma</t>
        </is>
      </c>
      <c r="C22" s="41" t="inlineStr">
        <is>
          <t>SALA</t>
        </is>
      </c>
      <c r="D22" s="35" t="inlineStr">
        <is>
          <t>Mixta</t>
        </is>
      </c>
      <c r="E22" s="27" t="n"/>
      <c r="F22" s="35" t="inlineStr">
        <is>
          <t>TAFUR FUENTES CESAR AUGUSTO</t>
        </is>
      </c>
      <c r="G22" s="21" t="inlineStr">
        <is>
          <t>Varón</t>
        </is>
      </c>
      <c r="H22" s="37" t="inlineStr">
        <is>
          <t>S</t>
        </is>
      </c>
      <c r="I22" s="37" t="inlineStr">
        <is>
          <t>Supernumerario</t>
        </is>
      </c>
    </row>
    <row r="23">
      <c r="A23" s="46" t="inlineStr">
        <is>
          <t>Tarma</t>
        </is>
      </c>
      <c r="B23" s="35" t="inlineStr">
        <is>
          <t>Tarma</t>
        </is>
      </c>
      <c r="C23" s="44" t="inlineStr">
        <is>
          <t>SALA</t>
        </is>
      </c>
      <c r="D23" s="35" t="inlineStr">
        <is>
          <t>Mixta</t>
        </is>
      </c>
      <c r="E23" s="27" t="n"/>
      <c r="F23" s="35" t="inlineStr">
        <is>
          <t>TICONA MAMANI JOSE LUIS</t>
        </is>
      </c>
      <c r="G23" s="21" t="inlineStr">
        <is>
          <t>Varón</t>
        </is>
      </c>
      <c r="H23" s="22" t="inlineStr">
        <is>
          <t>P</t>
        </is>
      </c>
      <c r="I23" s="22" t="inlineStr">
        <is>
          <t>Provisional</t>
        </is>
      </c>
    </row>
    <row r="24">
      <c r="A24" s="46" t="inlineStr">
        <is>
          <t>Huancayo</t>
        </is>
      </c>
      <c r="B24" s="35" t="inlineStr">
        <is>
          <t>Huancayo</t>
        </is>
      </c>
      <c r="C24" s="44" t="inlineStr">
        <is>
          <t>J. ESP.</t>
        </is>
      </c>
      <c r="D24" s="35" t="inlineStr">
        <is>
          <t>Penal Colegiado</t>
        </is>
      </c>
      <c r="E24" s="27" t="n"/>
      <c r="F24" s="35" t="inlineStr">
        <is>
          <t>TEVES VALDEZ NICK</t>
        </is>
      </c>
      <c r="G24" s="21" t="inlineStr">
        <is>
          <t>Varón</t>
        </is>
      </c>
      <c r="H24" s="22" t="inlineStr">
        <is>
          <t>T</t>
        </is>
      </c>
      <c r="I24" s="22" t="inlineStr">
        <is>
          <t>Titular</t>
        </is>
      </c>
    </row>
    <row r="25">
      <c r="A25" s="46" t="inlineStr">
        <is>
          <t>Huancayo</t>
        </is>
      </c>
      <c r="B25" s="35" t="inlineStr">
        <is>
          <t>Huancayo</t>
        </is>
      </c>
      <c r="C25" s="44" t="inlineStr">
        <is>
          <t>J. ESP.</t>
        </is>
      </c>
      <c r="D25" s="35" t="inlineStr">
        <is>
          <t>Penal Colegiado</t>
        </is>
      </c>
      <c r="E25" s="27" t="n"/>
      <c r="F25" s="35" t="inlineStr">
        <is>
          <t>BALDEON SANABRIA MIGUEL JUNIOR</t>
        </is>
      </c>
      <c r="G25" s="21" t="inlineStr">
        <is>
          <t>Varón</t>
        </is>
      </c>
      <c r="H25" s="22" t="inlineStr">
        <is>
          <t>S</t>
        </is>
      </c>
      <c r="I25" s="22" t="inlineStr">
        <is>
          <t>Supernumerario</t>
        </is>
      </c>
    </row>
    <row r="26">
      <c r="A26" s="46" t="inlineStr">
        <is>
          <t>Huancayo</t>
        </is>
      </c>
      <c r="B26" s="35" t="inlineStr">
        <is>
          <t>Huancayo</t>
        </is>
      </c>
      <c r="C26" s="44" t="inlineStr">
        <is>
          <t>J. ESP.</t>
        </is>
      </c>
      <c r="D26" s="35" t="inlineStr">
        <is>
          <t>Penal Colegiado</t>
        </is>
      </c>
      <c r="E26" s="27" t="n"/>
      <c r="F26" s="35" t="inlineStr">
        <is>
          <t>MENDEZ CORNEJO CLAUDIO LUIS</t>
        </is>
      </c>
      <c r="G26" s="21" t="inlineStr">
        <is>
          <t>Varón</t>
        </is>
      </c>
      <c r="H26" s="22" t="inlineStr">
        <is>
          <t>S</t>
        </is>
      </c>
      <c r="I26" s="22" t="inlineStr">
        <is>
          <t>Supernumerario</t>
        </is>
      </c>
    </row>
    <row r="27" ht="24" customHeight="1">
      <c r="A27" s="46" t="inlineStr">
        <is>
          <t>Huancayo</t>
        </is>
      </c>
      <c r="B27" s="35" t="inlineStr">
        <is>
          <t>Huancayo</t>
        </is>
      </c>
      <c r="C27" s="44" t="inlineStr">
        <is>
          <t>J. ESP.</t>
        </is>
      </c>
      <c r="D27" s="35" t="inlineStr">
        <is>
          <t>Penal Colegiado Trans. VCM</t>
        </is>
      </c>
      <c r="E27" s="27" t="inlineStr">
        <is>
          <t>1°</t>
        </is>
      </c>
      <c r="F27" s="35" t="inlineStr">
        <is>
          <t>YUPANQUI PEREZ CINTHIA MILAGROS</t>
        </is>
      </c>
      <c r="G27" s="21" t="inlineStr">
        <is>
          <t>Mujer</t>
        </is>
      </c>
      <c r="H27" s="22" t="inlineStr">
        <is>
          <t>S</t>
        </is>
      </c>
      <c r="I27" s="22" t="inlineStr">
        <is>
          <t>Supernumerario</t>
        </is>
      </c>
    </row>
    <row r="28" ht="24" customHeight="1">
      <c r="A28" s="46" t="inlineStr">
        <is>
          <t>Huancayo</t>
        </is>
      </c>
      <c r="B28" s="35" t="inlineStr">
        <is>
          <t>Huancayo</t>
        </is>
      </c>
      <c r="C28" s="44" t="inlineStr">
        <is>
          <t>J. ESP.</t>
        </is>
      </c>
      <c r="D28" s="35" t="inlineStr">
        <is>
          <t>Penal Colegiado Trans. VCM</t>
        </is>
      </c>
      <c r="E28" s="27" t="inlineStr">
        <is>
          <t>1°</t>
        </is>
      </c>
      <c r="F28" s="35" t="inlineStr">
        <is>
          <t>ESPINOZA MILLÁN CARMEN ELIZABETH</t>
        </is>
      </c>
      <c r="G28" s="21" t="inlineStr">
        <is>
          <t>Mujer</t>
        </is>
      </c>
      <c r="H28" s="23" t="inlineStr">
        <is>
          <t>S</t>
        </is>
      </c>
      <c r="I28" s="23" t="inlineStr">
        <is>
          <t>Supernumerario</t>
        </is>
      </c>
    </row>
    <row r="29" ht="24" customHeight="1">
      <c r="A29" s="46" t="inlineStr">
        <is>
          <t>Huancayo</t>
        </is>
      </c>
      <c r="B29" s="35" t="inlineStr">
        <is>
          <t>Huancayo</t>
        </is>
      </c>
      <c r="C29" s="44" t="inlineStr">
        <is>
          <t>J. ESP.</t>
        </is>
      </c>
      <c r="D29" s="35" t="inlineStr">
        <is>
          <t>Penal Colegiado Trans. VCM</t>
        </is>
      </c>
      <c r="E29" s="27" t="inlineStr">
        <is>
          <t>1°</t>
        </is>
      </c>
      <c r="F29" s="35" t="inlineStr">
        <is>
          <t>MEDRANO SEDANO ELIAS MARCEL</t>
        </is>
      </c>
      <c r="G29" s="21" t="inlineStr">
        <is>
          <t>Varón</t>
        </is>
      </c>
      <c r="H29" s="22" t="inlineStr">
        <is>
          <t>S</t>
        </is>
      </c>
      <c r="I29" s="22" t="inlineStr">
        <is>
          <t>Supernumerario</t>
        </is>
      </c>
    </row>
    <row r="30" ht="24" customHeight="1">
      <c r="A30" s="46" t="inlineStr">
        <is>
          <t>Huancayo</t>
        </is>
      </c>
      <c r="B30" s="35" t="inlineStr">
        <is>
          <t>Huancayo</t>
        </is>
      </c>
      <c r="C30" s="44" t="inlineStr">
        <is>
          <t>J. ESP.</t>
        </is>
      </c>
      <c r="D30" s="35" t="inlineStr">
        <is>
          <t>Penal Colegiado Trans. VCM</t>
        </is>
      </c>
      <c r="E30" s="27" t="inlineStr">
        <is>
          <t>2°</t>
        </is>
      </c>
      <c r="F30" s="35" t="inlineStr">
        <is>
          <t>CAMARENA MADRID WILDER WALTER</t>
        </is>
      </c>
      <c r="G30" s="21" t="inlineStr">
        <is>
          <t>Varón</t>
        </is>
      </c>
      <c r="H30" s="22" t="inlineStr">
        <is>
          <t>S</t>
        </is>
      </c>
      <c r="I30" s="22" t="inlineStr">
        <is>
          <t>Supernumerario</t>
        </is>
      </c>
    </row>
    <row r="31" ht="24" customHeight="1">
      <c r="A31" s="46" t="inlineStr">
        <is>
          <t>Huancayo</t>
        </is>
      </c>
      <c r="B31" s="35" t="inlineStr">
        <is>
          <t>Huancayo</t>
        </is>
      </c>
      <c r="C31" s="44" t="inlineStr">
        <is>
          <t>J. ESP.</t>
        </is>
      </c>
      <c r="D31" s="35" t="inlineStr">
        <is>
          <t>Penal Colegiado Trans. VCM</t>
        </is>
      </c>
      <c r="E31" s="27" t="inlineStr">
        <is>
          <t>2°</t>
        </is>
      </c>
      <c r="F31" s="35" t="inlineStr">
        <is>
          <t>INGAROCA CARLOS GUISELA DIANA</t>
        </is>
      </c>
      <c r="G31" s="21" t="inlineStr">
        <is>
          <t>Mujer</t>
        </is>
      </c>
      <c r="H31" s="22" t="inlineStr">
        <is>
          <t>S</t>
        </is>
      </c>
      <c r="I31" s="22" t="inlineStr">
        <is>
          <t>Supernumerario</t>
        </is>
      </c>
    </row>
    <row r="32" ht="24" customHeight="1">
      <c r="A32" s="46" t="inlineStr">
        <is>
          <t>Huancayo</t>
        </is>
      </c>
      <c r="B32" s="35" t="inlineStr">
        <is>
          <t>Huancayo</t>
        </is>
      </c>
      <c r="C32" s="44" t="inlineStr">
        <is>
          <t>J. ESP.</t>
        </is>
      </c>
      <c r="D32" s="35" t="inlineStr">
        <is>
          <t>Penal Colegiado Trans. VCM</t>
        </is>
      </c>
      <c r="E32" s="27" t="inlineStr">
        <is>
          <t>2°</t>
        </is>
      </c>
      <c r="F32" s="35" t="inlineStr">
        <is>
          <t>PAREDES SANCHEZ MARIEL VERIOSHKA</t>
        </is>
      </c>
      <c r="G32" s="24" t="inlineStr">
        <is>
          <t>Mujer</t>
        </is>
      </c>
      <c r="H32" s="22" t="inlineStr">
        <is>
          <t>S</t>
        </is>
      </c>
      <c r="I32" s="22" t="inlineStr">
        <is>
          <t>Supernumerario</t>
        </is>
      </c>
    </row>
    <row r="33">
      <c r="A33" s="46" t="inlineStr">
        <is>
          <t>Huancayo</t>
        </is>
      </c>
      <c r="B33" s="35" t="inlineStr">
        <is>
          <t>Huancayo</t>
        </is>
      </c>
      <c r="C33" s="44" t="inlineStr">
        <is>
          <t>J. ESP.</t>
        </is>
      </c>
      <c r="D33" s="35" t="inlineStr">
        <is>
          <t>Civil</t>
        </is>
      </c>
      <c r="E33" s="27" t="inlineStr">
        <is>
          <t>1°</t>
        </is>
      </c>
      <c r="F33" s="35" t="inlineStr">
        <is>
          <t>VICUÑA ZAMORA JESUS</t>
        </is>
      </c>
      <c r="G33" s="21" t="inlineStr">
        <is>
          <t>Varón</t>
        </is>
      </c>
      <c r="H33" s="37" t="inlineStr">
        <is>
          <t>T</t>
        </is>
      </c>
      <c r="I33" s="37" t="inlineStr">
        <is>
          <t>Titular</t>
        </is>
      </c>
    </row>
    <row r="34">
      <c r="A34" s="46" t="inlineStr">
        <is>
          <t>Huancayo</t>
        </is>
      </c>
      <c r="B34" s="35" t="inlineStr">
        <is>
          <t>Huancayo</t>
        </is>
      </c>
      <c r="C34" s="44" t="inlineStr">
        <is>
          <t>J. ESP.</t>
        </is>
      </c>
      <c r="D34" s="35" t="inlineStr">
        <is>
          <t>Civil</t>
        </is>
      </c>
      <c r="E34" s="27" t="inlineStr">
        <is>
          <t>2°</t>
        </is>
      </c>
      <c r="F34" s="35" t="inlineStr">
        <is>
          <t>BUSTAMANTE VERA JORGE ENRIQUE</t>
        </is>
      </c>
      <c r="G34" s="21" t="inlineStr">
        <is>
          <t>Varón</t>
        </is>
      </c>
      <c r="H34" s="37" t="inlineStr">
        <is>
          <t>T</t>
        </is>
      </c>
      <c r="I34" s="37" t="inlineStr">
        <is>
          <t>Titular</t>
        </is>
      </c>
    </row>
    <row r="35">
      <c r="A35" s="46" t="inlineStr">
        <is>
          <t>Huancayo</t>
        </is>
      </c>
      <c r="B35" s="35" t="inlineStr">
        <is>
          <t>Huancayo</t>
        </is>
      </c>
      <c r="C35" s="44" t="inlineStr">
        <is>
          <t>J. ESP.</t>
        </is>
      </c>
      <c r="D35" s="35" t="inlineStr">
        <is>
          <t>Civil</t>
        </is>
      </c>
      <c r="E35" s="27" t="inlineStr">
        <is>
          <t>3°</t>
        </is>
      </c>
      <c r="F35" s="35" t="inlineStr">
        <is>
          <t>ARMAS INGA ESTRELLA</t>
        </is>
      </c>
      <c r="G35" s="24" t="inlineStr">
        <is>
          <t>Mujer</t>
        </is>
      </c>
      <c r="H35" s="37" t="inlineStr">
        <is>
          <t>T</t>
        </is>
      </c>
      <c r="I35" s="37" t="inlineStr">
        <is>
          <t>Titular</t>
        </is>
      </c>
    </row>
    <row r="36">
      <c r="A36" s="46" t="inlineStr">
        <is>
          <t>Huancayo</t>
        </is>
      </c>
      <c r="B36" s="35" t="inlineStr">
        <is>
          <t>Huancayo</t>
        </is>
      </c>
      <c r="C36" s="44" t="inlineStr">
        <is>
          <t>J. ESP.</t>
        </is>
      </c>
      <c r="D36" s="35" t="inlineStr">
        <is>
          <t>Civil</t>
        </is>
      </c>
      <c r="E36" s="27" t="inlineStr">
        <is>
          <t>4°</t>
        </is>
      </c>
      <c r="F36" s="35" t="inlineStr">
        <is>
          <t>BELTRAN GUZMAN ERICH JOHAN</t>
        </is>
      </c>
      <c r="G36" s="21" t="inlineStr">
        <is>
          <t>Varón</t>
        </is>
      </c>
      <c r="H36" s="37" t="inlineStr">
        <is>
          <t>S</t>
        </is>
      </c>
      <c r="I36" s="37" t="inlineStr">
        <is>
          <t>Supernumerario</t>
        </is>
      </c>
    </row>
    <row r="37">
      <c r="A37" s="46" t="inlineStr">
        <is>
          <t>Huancayo</t>
        </is>
      </c>
      <c r="B37" s="35" t="inlineStr">
        <is>
          <t>Huancayo</t>
        </is>
      </c>
      <c r="C37" s="44" t="inlineStr">
        <is>
          <t>J. ESP.</t>
        </is>
      </c>
      <c r="D37" s="35" t="inlineStr">
        <is>
          <t>Civil</t>
        </is>
      </c>
      <c r="E37" s="27" t="inlineStr">
        <is>
          <t>5°</t>
        </is>
      </c>
      <c r="F37" s="35" t="inlineStr">
        <is>
          <t>MANTARI MOLINA MANUEL</t>
        </is>
      </c>
      <c r="G37" s="21" t="inlineStr">
        <is>
          <t>Varón</t>
        </is>
      </c>
      <c r="H37" s="22" t="inlineStr">
        <is>
          <t>S</t>
        </is>
      </c>
      <c r="I37" s="22" t="inlineStr">
        <is>
          <t>Supernumerario</t>
        </is>
      </c>
    </row>
    <row r="38">
      <c r="A38" s="46" t="inlineStr">
        <is>
          <t>Huancayo</t>
        </is>
      </c>
      <c r="B38" s="35" t="inlineStr">
        <is>
          <t>Huancayo</t>
        </is>
      </c>
      <c r="C38" s="44" t="inlineStr">
        <is>
          <t>J. ESP.</t>
        </is>
      </c>
      <c r="D38" s="35" t="inlineStr">
        <is>
          <t>Comercial</t>
        </is>
      </c>
      <c r="E38" s="27" t="n"/>
      <c r="F38" s="35" t="inlineStr">
        <is>
          <t>TORRES ALTEZ DANTE REYNALDO</t>
        </is>
      </c>
      <c r="G38" s="24" t="inlineStr">
        <is>
          <t>Varón</t>
        </is>
      </c>
      <c r="H38" s="37" t="inlineStr">
        <is>
          <t>S</t>
        </is>
      </c>
      <c r="I38" s="37" t="inlineStr">
        <is>
          <t>Supernumerario</t>
        </is>
      </c>
    </row>
    <row r="39">
      <c r="A39" s="46" t="inlineStr">
        <is>
          <t>Huancayo</t>
        </is>
      </c>
      <c r="B39" s="35" t="inlineStr">
        <is>
          <t>Huancayo</t>
        </is>
      </c>
      <c r="C39" s="44" t="inlineStr">
        <is>
          <t>J. ESP.</t>
        </is>
      </c>
      <c r="D39" s="35" t="inlineStr">
        <is>
          <t>Constitucional</t>
        </is>
      </c>
      <c r="E39" s="27" t="n"/>
      <c r="F39" s="35" t="inlineStr">
        <is>
          <t>CAJINCHO YAÑEZ DORIS</t>
        </is>
      </c>
      <c r="G39" s="21" t="inlineStr">
        <is>
          <t>Mujer</t>
        </is>
      </c>
      <c r="H39" s="22" t="inlineStr">
        <is>
          <t>S</t>
        </is>
      </c>
      <c r="I39" s="22" t="inlineStr">
        <is>
          <t>Supernumerario</t>
        </is>
      </c>
    </row>
    <row r="40">
      <c r="A40" s="46" t="inlineStr">
        <is>
          <t>Huancayo</t>
        </is>
      </c>
      <c r="B40" s="35" t="inlineStr">
        <is>
          <t>Huancayo</t>
        </is>
      </c>
      <c r="C40" s="44" t="inlineStr">
        <is>
          <t>J. ESP.</t>
        </is>
      </c>
      <c r="D40" s="35" t="inlineStr">
        <is>
          <t>Familia</t>
        </is>
      </c>
      <c r="E40" s="27" t="inlineStr">
        <is>
          <t>1°</t>
        </is>
      </c>
      <c r="F40" s="35" t="inlineStr">
        <is>
          <t>CORILLA BAQUERIZO JENIS AIDA</t>
        </is>
      </c>
      <c r="G40" s="21" t="inlineStr">
        <is>
          <t>Mujer</t>
        </is>
      </c>
      <c r="H40" s="37" t="inlineStr">
        <is>
          <t>S</t>
        </is>
      </c>
      <c r="I40" s="37" t="inlineStr">
        <is>
          <t>Supernumerario</t>
        </is>
      </c>
    </row>
    <row r="41">
      <c r="A41" s="46" t="inlineStr">
        <is>
          <t>Huancayo</t>
        </is>
      </c>
      <c r="B41" s="35" t="inlineStr">
        <is>
          <t>Huancayo</t>
        </is>
      </c>
      <c r="C41" s="44" t="inlineStr">
        <is>
          <t>J. ESP.</t>
        </is>
      </c>
      <c r="D41" s="35" t="inlineStr">
        <is>
          <t>Familia</t>
        </is>
      </c>
      <c r="E41" s="27" t="inlineStr">
        <is>
          <t>2°</t>
        </is>
      </c>
      <c r="F41" s="35" t="inlineStr">
        <is>
          <t>OLIVERA MONTERO IRMA ROSA</t>
        </is>
      </c>
      <c r="G41" s="21" t="inlineStr">
        <is>
          <t>Mujer</t>
        </is>
      </c>
      <c r="H41" s="22" t="inlineStr">
        <is>
          <t>P</t>
        </is>
      </c>
      <c r="I41" s="22" t="inlineStr">
        <is>
          <t>Provisional</t>
        </is>
      </c>
    </row>
    <row r="42">
      <c r="A42" s="46" t="inlineStr">
        <is>
          <t>Huancayo</t>
        </is>
      </c>
      <c r="B42" s="35" t="inlineStr">
        <is>
          <t>Huancayo</t>
        </is>
      </c>
      <c r="C42" s="44" t="inlineStr">
        <is>
          <t>J. ESP.</t>
        </is>
      </c>
      <c r="D42" s="35" t="inlineStr">
        <is>
          <t>Familia</t>
        </is>
      </c>
      <c r="E42" s="27" t="inlineStr">
        <is>
          <t>3°</t>
        </is>
      </c>
      <c r="F42" s="35" t="inlineStr">
        <is>
          <t>MONDARGO MARTINEZ NEDER ELIAS</t>
        </is>
      </c>
      <c r="G42" s="21" t="inlineStr">
        <is>
          <t>Varón</t>
        </is>
      </c>
      <c r="H42" s="22" t="inlineStr">
        <is>
          <t>S</t>
        </is>
      </c>
      <c r="I42" s="22" t="inlineStr">
        <is>
          <t>Supernumerario</t>
        </is>
      </c>
    </row>
    <row r="43">
      <c r="A43" s="46" t="inlineStr">
        <is>
          <t>Huancayo</t>
        </is>
      </c>
      <c r="B43" s="35" t="inlineStr">
        <is>
          <t>Huancayo</t>
        </is>
      </c>
      <c r="C43" s="44" t="inlineStr">
        <is>
          <t>J. ESP.</t>
        </is>
      </c>
      <c r="D43" s="35" t="inlineStr">
        <is>
          <t>Familia</t>
        </is>
      </c>
      <c r="E43" s="27" t="inlineStr">
        <is>
          <t>4°</t>
        </is>
      </c>
      <c r="F43" s="35" t="inlineStr">
        <is>
          <t>ALVARADO PEREZ JUANA VIRGINIA</t>
        </is>
      </c>
      <c r="G43" s="21" t="inlineStr">
        <is>
          <t>Mujer</t>
        </is>
      </c>
      <c r="H43" s="37" t="inlineStr">
        <is>
          <t>P</t>
        </is>
      </c>
      <c r="I43" s="37" t="inlineStr">
        <is>
          <t>Provisional</t>
        </is>
      </c>
    </row>
    <row r="44">
      <c r="A44" s="46" t="inlineStr">
        <is>
          <t>Huancayo</t>
        </is>
      </c>
      <c r="B44" s="35" t="inlineStr">
        <is>
          <t>Huancayo</t>
        </is>
      </c>
      <c r="C44" s="44" t="inlineStr">
        <is>
          <t>J. ESP.</t>
        </is>
      </c>
      <c r="D44" s="35" t="inlineStr">
        <is>
          <t>Familia VCM</t>
        </is>
      </c>
      <c r="E44" s="27" t="inlineStr">
        <is>
          <t>5°</t>
        </is>
      </c>
      <c r="F44" s="35" t="inlineStr">
        <is>
          <t>SUASNABAR TOLENTINO LUIS RICARDO</t>
        </is>
      </c>
      <c r="G44" s="21" t="inlineStr">
        <is>
          <t>Varón</t>
        </is>
      </c>
      <c r="H44" s="37" t="inlineStr">
        <is>
          <t>P</t>
        </is>
      </c>
      <c r="I44" s="37" t="inlineStr">
        <is>
          <t>Provisional</t>
        </is>
      </c>
    </row>
    <row r="45">
      <c r="A45" s="46" t="inlineStr">
        <is>
          <t>Huancayo</t>
        </is>
      </c>
      <c r="B45" s="35" t="inlineStr">
        <is>
          <t>Huancayo</t>
        </is>
      </c>
      <c r="C45" s="44" t="inlineStr">
        <is>
          <t>J. ESP.</t>
        </is>
      </c>
      <c r="D45" s="35" t="inlineStr">
        <is>
          <t>Familia VCM</t>
        </is>
      </c>
      <c r="E45" s="27" t="inlineStr">
        <is>
          <t>6°</t>
        </is>
      </c>
      <c r="F45" s="35" t="inlineStr">
        <is>
          <t>MORALES MONTES GRACIELA</t>
        </is>
      </c>
      <c r="G45" s="21" t="inlineStr">
        <is>
          <t>Mujer</t>
        </is>
      </c>
      <c r="H45" s="37" t="inlineStr">
        <is>
          <t>P</t>
        </is>
      </c>
      <c r="I45" s="37" t="inlineStr">
        <is>
          <t>Provisional</t>
        </is>
      </c>
    </row>
    <row r="46">
      <c r="A46" s="46" t="inlineStr">
        <is>
          <t>Huancayo</t>
        </is>
      </c>
      <c r="B46" s="35" t="inlineStr">
        <is>
          <t>Huancayo</t>
        </is>
      </c>
      <c r="C46" s="44" t="inlineStr">
        <is>
          <t>J. ESP.</t>
        </is>
      </c>
      <c r="D46" s="35" t="inlineStr">
        <is>
          <t>Familia VCM</t>
        </is>
      </c>
      <c r="E46" s="27" t="inlineStr">
        <is>
          <t>7°</t>
        </is>
      </c>
      <c r="F46" s="35" t="inlineStr">
        <is>
          <t>BALDEON GAMARRA ANGELA BEATRIZ</t>
        </is>
      </c>
      <c r="G46" s="21" t="inlineStr">
        <is>
          <t>Mujer</t>
        </is>
      </c>
      <c r="H46" s="22" t="inlineStr">
        <is>
          <t>P</t>
        </is>
      </c>
      <c r="I46" s="22" t="inlineStr">
        <is>
          <t>Provisional</t>
        </is>
      </c>
    </row>
    <row r="47">
      <c r="A47" s="46" t="inlineStr">
        <is>
          <t>Huancayo</t>
        </is>
      </c>
      <c r="B47" s="35" t="inlineStr">
        <is>
          <t>Huancayo</t>
        </is>
      </c>
      <c r="C47" s="44" t="inlineStr">
        <is>
          <t>J. ESP.</t>
        </is>
      </c>
      <c r="D47" s="35" t="inlineStr">
        <is>
          <t>Familia VCM</t>
        </is>
      </c>
      <c r="E47" s="27" t="inlineStr">
        <is>
          <t>8°</t>
        </is>
      </c>
      <c r="F47" s="35" t="inlineStr">
        <is>
          <t>TORRES DELGADO EDWIN VICTOR</t>
        </is>
      </c>
      <c r="G47" s="24" t="inlineStr">
        <is>
          <t>Varón</t>
        </is>
      </c>
      <c r="H47" s="22" t="inlineStr">
        <is>
          <t>P</t>
        </is>
      </c>
      <c r="I47" s="22" t="inlineStr">
        <is>
          <t>Provisional</t>
        </is>
      </c>
    </row>
    <row r="48">
      <c r="A48" s="46" t="inlineStr">
        <is>
          <t>Huancayo</t>
        </is>
      </c>
      <c r="B48" s="35" t="inlineStr">
        <is>
          <t>Huancayo</t>
        </is>
      </c>
      <c r="C48" s="44" t="inlineStr">
        <is>
          <t>J. ESP.</t>
        </is>
      </c>
      <c r="D48" s="35" t="inlineStr">
        <is>
          <t>Familia VCM</t>
        </is>
      </c>
      <c r="E48" s="27" t="inlineStr">
        <is>
          <t>9°</t>
        </is>
      </c>
      <c r="F48" s="35" t="inlineStr">
        <is>
          <t>CARHUAMACA QUISPE GABRIELA</t>
        </is>
      </c>
      <c r="G48" s="24" t="inlineStr">
        <is>
          <t>Mujer</t>
        </is>
      </c>
      <c r="H48" s="23" t="inlineStr">
        <is>
          <t>S</t>
        </is>
      </c>
      <c r="I48" s="23" t="inlineStr">
        <is>
          <t>Supernumerario</t>
        </is>
      </c>
    </row>
    <row r="49">
      <c r="A49" s="46" t="inlineStr">
        <is>
          <t>Huancayo</t>
        </is>
      </c>
      <c r="B49" s="35" t="inlineStr">
        <is>
          <t>Huancayo</t>
        </is>
      </c>
      <c r="C49" s="44" t="inlineStr">
        <is>
          <t>J. ESP.</t>
        </is>
      </c>
      <c r="D49" s="35" t="inlineStr">
        <is>
          <t>Familia VCM</t>
        </is>
      </c>
      <c r="E49" s="27" t="inlineStr">
        <is>
          <t>10°</t>
        </is>
      </c>
      <c r="F49" s="35" t="inlineStr">
        <is>
          <t>AUQUI HUERTA TEOFANES EDGAR</t>
        </is>
      </c>
      <c r="G49" s="21" t="inlineStr">
        <is>
          <t>Varón</t>
        </is>
      </c>
      <c r="H49" s="37" t="inlineStr">
        <is>
          <t>P</t>
        </is>
      </c>
      <c r="I49" s="37" t="inlineStr">
        <is>
          <t>Provisional</t>
        </is>
      </c>
    </row>
    <row r="50" ht="24" customHeight="1">
      <c r="A50" s="46" t="inlineStr">
        <is>
          <t>Huancayo</t>
        </is>
      </c>
      <c r="B50" s="35" t="inlineStr">
        <is>
          <t>Huancayo</t>
        </is>
      </c>
      <c r="C50" s="44" t="inlineStr">
        <is>
          <t>J. ESP.</t>
        </is>
      </c>
      <c r="D50" s="35" t="inlineStr">
        <is>
          <t>Penal Unip. Corrupción</t>
        </is>
      </c>
      <c r="E50" s="27" t="inlineStr">
        <is>
          <t>5°</t>
        </is>
      </c>
      <c r="F50" s="35" t="inlineStr">
        <is>
          <t>ALEJANDRO HUANUCO ROSEMARIE CLEMENCIA</t>
        </is>
      </c>
      <c r="G50" s="24" t="inlineStr">
        <is>
          <t>Mujer</t>
        </is>
      </c>
      <c r="H50" s="37" t="inlineStr">
        <is>
          <t>S</t>
        </is>
      </c>
      <c r="I50" s="37" t="inlineStr">
        <is>
          <t>Supernumerario</t>
        </is>
      </c>
    </row>
    <row r="51">
      <c r="A51" s="46" t="inlineStr">
        <is>
          <t>Huancayo</t>
        </is>
      </c>
      <c r="B51" s="35" t="inlineStr">
        <is>
          <t>Huancayo</t>
        </is>
      </c>
      <c r="C51" s="44" t="inlineStr">
        <is>
          <t>J. ESP.</t>
        </is>
      </c>
      <c r="D51" s="35" t="inlineStr">
        <is>
          <t>Penal Unip. Corrupción</t>
        </is>
      </c>
      <c r="E51" s="27" t="inlineStr">
        <is>
          <t>6°</t>
        </is>
      </c>
      <c r="F51" s="35" t="inlineStr">
        <is>
          <t>ARROYO AMES GUIDO REYNALDO</t>
        </is>
      </c>
      <c r="G51" s="24" t="inlineStr">
        <is>
          <t>Varón</t>
        </is>
      </c>
      <c r="H51" s="23" t="inlineStr">
        <is>
          <t>T</t>
        </is>
      </c>
      <c r="I51" s="23" t="inlineStr">
        <is>
          <t>Titular</t>
        </is>
      </c>
    </row>
    <row r="52" ht="24" customHeight="1">
      <c r="A52" s="46" t="inlineStr">
        <is>
          <t>Huancayo</t>
        </is>
      </c>
      <c r="B52" s="35" t="inlineStr">
        <is>
          <t>Huancayo</t>
        </is>
      </c>
      <c r="C52" s="44" t="inlineStr">
        <is>
          <t>J. ESP.</t>
        </is>
      </c>
      <c r="D52" s="35" t="inlineStr">
        <is>
          <t>Penal Unip. VCM</t>
        </is>
      </c>
      <c r="E52" s="27" t="inlineStr">
        <is>
          <t>1°</t>
        </is>
      </c>
      <c r="F52" s="35" t="inlineStr">
        <is>
          <t>CASTILLO GONZALES EMPERATRIZ VICTORIA</t>
        </is>
      </c>
      <c r="G52" s="21" t="inlineStr">
        <is>
          <t>Mujer</t>
        </is>
      </c>
      <c r="H52" s="37" t="inlineStr">
        <is>
          <t>S</t>
        </is>
      </c>
      <c r="I52" s="37" t="inlineStr">
        <is>
          <t>Supernumerario</t>
        </is>
      </c>
    </row>
    <row r="53" ht="24" customHeight="1">
      <c r="A53" s="46" t="inlineStr">
        <is>
          <t>Huancayo</t>
        </is>
      </c>
      <c r="B53" s="35" t="inlineStr">
        <is>
          <t>Huancayo</t>
        </is>
      </c>
      <c r="C53" s="44" t="inlineStr">
        <is>
          <t>J. ESP.</t>
        </is>
      </c>
      <c r="D53" s="35" t="inlineStr">
        <is>
          <t>Penal Unip. VCM</t>
        </is>
      </c>
      <c r="E53" s="27" t="inlineStr">
        <is>
          <t>2°</t>
        </is>
      </c>
      <c r="F53" s="35" t="inlineStr">
        <is>
          <t>CHUQUIPUIMA RICSE MERCEDES GEORGINA</t>
        </is>
      </c>
      <c r="G53" s="24" t="inlineStr">
        <is>
          <t>Mujer</t>
        </is>
      </c>
      <c r="H53" s="23" t="inlineStr">
        <is>
          <t>S</t>
        </is>
      </c>
      <c r="I53" s="23" t="inlineStr">
        <is>
          <t>Supernumerario</t>
        </is>
      </c>
    </row>
    <row r="54">
      <c r="A54" s="46" t="inlineStr">
        <is>
          <t>Huancayo</t>
        </is>
      </c>
      <c r="B54" s="35" t="inlineStr">
        <is>
          <t>Huancayo</t>
        </is>
      </c>
      <c r="C54" s="44" t="inlineStr">
        <is>
          <t>J. ESP.</t>
        </is>
      </c>
      <c r="D54" s="35" t="inlineStr">
        <is>
          <t>Penal Unip. VCM</t>
        </is>
      </c>
      <c r="E54" s="27" t="inlineStr">
        <is>
          <t>3°</t>
        </is>
      </c>
      <c r="F54" s="35" t="inlineStr">
        <is>
          <t>OBLITAS CEVALLOS LUIS ROLANDO</t>
        </is>
      </c>
      <c r="G54" s="24" t="inlineStr">
        <is>
          <t>Varón</t>
        </is>
      </c>
      <c r="H54" s="23" t="inlineStr">
        <is>
          <t>S</t>
        </is>
      </c>
      <c r="I54" s="23" t="inlineStr">
        <is>
          <t>Supernumerario</t>
        </is>
      </c>
    </row>
    <row r="55">
      <c r="A55" s="46" t="inlineStr">
        <is>
          <t>Huancayo</t>
        </is>
      </c>
      <c r="B55" s="35" t="inlineStr">
        <is>
          <t>Huancayo</t>
        </is>
      </c>
      <c r="C55" s="44" t="inlineStr">
        <is>
          <t>J. ESP.</t>
        </is>
      </c>
      <c r="D55" s="35" t="inlineStr">
        <is>
          <t>Penal Unipersonal</t>
        </is>
      </c>
      <c r="E55" s="27" t="inlineStr">
        <is>
          <t>1°</t>
        </is>
      </c>
      <c r="F55" s="35" t="inlineStr">
        <is>
          <t>RODRIGUEZ LIZANA RAFAEL</t>
        </is>
      </c>
      <c r="G55" s="21" t="inlineStr">
        <is>
          <t>Varón</t>
        </is>
      </c>
      <c r="H55" s="23" t="inlineStr">
        <is>
          <t>T</t>
        </is>
      </c>
      <c r="I55" s="23" t="inlineStr">
        <is>
          <t>Titular</t>
        </is>
      </c>
    </row>
    <row r="56">
      <c r="A56" s="46" t="inlineStr">
        <is>
          <t>Huancayo</t>
        </is>
      </c>
      <c r="B56" s="35" t="inlineStr">
        <is>
          <t>Huancayo</t>
        </is>
      </c>
      <c r="C56" s="44" t="inlineStr">
        <is>
          <t>J. ESP.</t>
        </is>
      </c>
      <c r="D56" s="35" t="inlineStr">
        <is>
          <t>Penal Unipersonal</t>
        </is>
      </c>
      <c r="E56" s="27" t="inlineStr">
        <is>
          <t>2°</t>
        </is>
      </c>
      <c r="F56" s="35" t="inlineStr">
        <is>
          <t>GONZALES ORE YONNY ALBINO</t>
        </is>
      </c>
      <c r="G56" s="24" t="inlineStr">
        <is>
          <t>Varón</t>
        </is>
      </c>
      <c r="H56" s="23" t="inlineStr">
        <is>
          <t>S</t>
        </is>
      </c>
      <c r="I56" s="23" t="inlineStr">
        <is>
          <t>Supernumerario</t>
        </is>
      </c>
    </row>
    <row r="57">
      <c r="A57" s="46" t="inlineStr">
        <is>
          <t>Huancayo</t>
        </is>
      </c>
      <c r="B57" s="35" t="inlineStr">
        <is>
          <t>Huancayo</t>
        </is>
      </c>
      <c r="C57" s="44" t="inlineStr">
        <is>
          <t>J. ESP.</t>
        </is>
      </c>
      <c r="D57" s="35" t="inlineStr">
        <is>
          <t>Penal Unipersonal</t>
        </is>
      </c>
      <c r="E57" s="27" t="inlineStr">
        <is>
          <t>3°</t>
        </is>
      </c>
      <c r="F57" s="35" t="inlineStr">
        <is>
          <t>PALOMINO PRADO RICHARD</t>
        </is>
      </c>
      <c r="G57" s="24" t="inlineStr">
        <is>
          <t>Varón</t>
        </is>
      </c>
      <c r="H57" s="23" t="inlineStr">
        <is>
          <t>T</t>
        </is>
      </c>
      <c r="I57" s="23" t="inlineStr">
        <is>
          <t>Titular</t>
        </is>
      </c>
    </row>
    <row r="58">
      <c r="A58" s="46" t="inlineStr">
        <is>
          <t>Huancayo</t>
        </is>
      </c>
      <c r="B58" s="35" t="inlineStr">
        <is>
          <t>Huancayo</t>
        </is>
      </c>
      <c r="C58" s="44" t="inlineStr">
        <is>
          <t>J. ESP.</t>
        </is>
      </c>
      <c r="D58" s="35" t="inlineStr">
        <is>
          <t>Penal Unipersonal</t>
        </is>
      </c>
      <c r="E58" s="27" t="inlineStr">
        <is>
          <t>4°</t>
        </is>
      </c>
      <c r="F58" s="35" t="inlineStr">
        <is>
          <t>FERNÁNDEZ ORDOÑEZ AMPARO</t>
        </is>
      </c>
      <c r="G58" s="21" t="inlineStr">
        <is>
          <t>Mujer</t>
        </is>
      </c>
      <c r="H58" s="23" t="inlineStr">
        <is>
          <t>S</t>
        </is>
      </c>
      <c r="I58" s="23" t="inlineStr">
        <is>
          <t>Supernumerario</t>
        </is>
      </c>
    </row>
    <row r="59">
      <c r="A59" s="46" t="inlineStr">
        <is>
          <t>Huancayo</t>
        </is>
      </c>
      <c r="B59" s="35" t="inlineStr">
        <is>
          <t>Huancayo</t>
        </is>
      </c>
      <c r="C59" s="44" t="inlineStr">
        <is>
          <t>J. ESP.</t>
        </is>
      </c>
      <c r="D59" s="35" t="inlineStr">
        <is>
          <t>Trabajo</t>
        </is>
      </c>
      <c r="E59" s="27" t="inlineStr">
        <is>
          <t>1°</t>
        </is>
      </c>
      <c r="F59" s="35" t="inlineStr">
        <is>
          <t>ALVA RICALDI PAUL FAUSTINO</t>
        </is>
      </c>
      <c r="G59" s="24" t="inlineStr">
        <is>
          <t>Varón</t>
        </is>
      </c>
      <c r="H59" s="37" t="inlineStr">
        <is>
          <t>S</t>
        </is>
      </c>
      <c r="I59" s="37" t="inlineStr">
        <is>
          <t>Supernumerario</t>
        </is>
      </c>
    </row>
    <row r="60">
      <c r="A60" s="46" t="inlineStr">
        <is>
          <t>Huancayo</t>
        </is>
      </c>
      <c r="B60" s="35" t="inlineStr">
        <is>
          <t>Huancayo</t>
        </is>
      </c>
      <c r="C60" s="44" t="inlineStr">
        <is>
          <t>J. ESP.</t>
        </is>
      </c>
      <c r="D60" s="35" t="inlineStr">
        <is>
          <t>Trabajo</t>
        </is>
      </c>
      <c r="E60" s="27" t="inlineStr">
        <is>
          <t>2°</t>
        </is>
      </c>
      <c r="F60" s="35" t="inlineStr">
        <is>
          <t>CHANCO CASTILLON ESAU</t>
        </is>
      </c>
      <c r="G60" s="21" t="inlineStr">
        <is>
          <t>Varón</t>
        </is>
      </c>
      <c r="H60" s="23" t="inlineStr">
        <is>
          <t>T</t>
        </is>
      </c>
      <c r="I60" s="23" t="inlineStr">
        <is>
          <t>Titular</t>
        </is>
      </c>
    </row>
    <row r="61">
      <c r="A61" s="46" t="inlineStr">
        <is>
          <t>Huancayo</t>
        </is>
      </c>
      <c r="B61" s="35" t="inlineStr">
        <is>
          <t>Huancayo</t>
        </is>
      </c>
      <c r="C61" s="44" t="inlineStr">
        <is>
          <t>J. ESP.</t>
        </is>
      </c>
      <c r="D61" s="35" t="inlineStr">
        <is>
          <t>Trabajo</t>
        </is>
      </c>
      <c r="E61" s="27" t="inlineStr">
        <is>
          <t>3°</t>
        </is>
      </c>
      <c r="F61" s="35" t="inlineStr">
        <is>
          <t>QUINTEROS CARLOS LETICIA</t>
        </is>
      </c>
      <c r="G61" s="21" t="inlineStr">
        <is>
          <t>Mujer</t>
        </is>
      </c>
      <c r="H61" s="23" t="inlineStr">
        <is>
          <t>T</t>
        </is>
      </c>
      <c r="I61" s="23" t="inlineStr">
        <is>
          <t>Titular</t>
        </is>
      </c>
    </row>
    <row r="62">
      <c r="A62" s="46" t="inlineStr">
        <is>
          <t>Huancayo</t>
        </is>
      </c>
      <c r="B62" s="35" t="inlineStr">
        <is>
          <t>Huancayo</t>
        </is>
      </c>
      <c r="C62" s="44" t="inlineStr">
        <is>
          <t>J. ESP.</t>
        </is>
      </c>
      <c r="D62" s="35" t="inlineStr">
        <is>
          <t>Trabajo</t>
        </is>
      </c>
      <c r="E62" s="27" t="inlineStr">
        <is>
          <t>4°</t>
        </is>
      </c>
      <c r="F62" s="35" t="inlineStr">
        <is>
          <t>GOMEZ BAZALAR IRIS EDITH</t>
        </is>
      </c>
      <c r="G62" s="21" t="inlineStr">
        <is>
          <t>Mujer</t>
        </is>
      </c>
      <c r="H62" s="22" t="inlineStr">
        <is>
          <t>P</t>
        </is>
      </c>
      <c r="I62" s="22" t="inlineStr">
        <is>
          <t>Provisional</t>
        </is>
      </c>
    </row>
    <row r="63">
      <c r="A63" s="46" t="inlineStr">
        <is>
          <t>Huancayo</t>
        </is>
      </c>
      <c r="B63" s="35" t="inlineStr">
        <is>
          <t>Huancayo</t>
        </is>
      </c>
      <c r="C63" s="44" t="inlineStr">
        <is>
          <t>J. ESP.</t>
        </is>
      </c>
      <c r="D63" s="35" t="inlineStr">
        <is>
          <t>Trabajo Trans.</t>
        </is>
      </c>
      <c r="E63" s="27" t="n"/>
      <c r="F63" s="35" t="inlineStr">
        <is>
          <t>ARTEAGA FERNANDEZ ISAAC ARTURO</t>
        </is>
      </c>
      <c r="G63" s="21" t="inlineStr">
        <is>
          <t>Varón</t>
        </is>
      </c>
      <c r="H63" s="37" t="inlineStr">
        <is>
          <t>S</t>
        </is>
      </c>
      <c r="I63" s="37" t="inlineStr">
        <is>
          <t>Supernumerario</t>
        </is>
      </c>
    </row>
    <row r="64">
      <c r="A64" s="46" t="inlineStr">
        <is>
          <t>Huancayo</t>
        </is>
      </c>
      <c r="B64" s="35" t="inlineStr">
        <is>
          <t>Huancayo</t>
        </is>
      </c>
      <c r="C64" s="44" t="inlineStr">
        <is>
          <t>J. ESP.</t>
        </is>
      </c>
      <c r="D64" s="35" t="inlineStr">
        <is>
          <t>Extinción de Dominio</t>
        </is>
      </c>
      <c r="E64" s="27" t="n"/>
      <c r="F64" s="35" t="inlineStr">
        <is>
          <t>CONCHA CHAVEZ WILIAMAN PERCY</t>
        </is>
      </c>
      <c r="G64" s="21" t="inlineStr">
        <is>
          <t>Varón</t>
        </is>
      </c>
      <c r="H64" s="22" t="inlineStr">
        <is>
          <t>P</t>
        </is>
      </c>
      <c r="I64" s="22" t="inlineStr">
        <is>
          <t>Provisional</t>
        </is>
      </c>
    </row>
    <row r="65">
      <c r="A65" s="46" t="inlineStr">
        <is>
          <t>Huancayo</t>
        </is>
      </c>
      <c r="B65" s="35" t="inlineStr">
        <is>
          <t>Huancayo</t>
        </is>
      </c>
      <c r="C65" s="44" t="inlineStr">
        <is>
          <t>J. ESP.</t>
        </is>
      </c>
      <c r="D65" s="35" t="inlineStr">
        <is>
          <t>Invest. Prep. Corrupción</t>
        </is>
      </c>
      <c r="E65" s="27" t="inlineStr">
        <is>
          <t>5°</t>
        </is>
      </c>
      <c r="F65" s="35" t="inlineStr">
        <is>
          <t>BALDEON QUISPE JULY ELIANE</t>
        </is>
      </c>
      <c r="G65" s="24" t="inlineStr">
        <is>
          <t>Mujer</t>
        </is>
      </c>
      <c r="H65" s="37" t="inlineStr">
        <is>
          <t>T</t>
        </is>
      </c>
      <c r="I65" s="37" t="inlineStr">
        <is>
          <t>Titular</t>
        </is>
      </c>
    </row>
    <row r="66">
      <c r="A66" s="46" t="inlineStr">
        <is>
          <t>Huancayo</t>
        </is>
      </c>
      <c r="B66" s="35" t="inlineStr">
        <is>
          <t>Huancayo</t>
        </is>
      </c>
      <c r="C66" s="44" t="inlineStr">
        <is>
          <t>J. ESP.</t>
        </is>
      </c>
      <c r="D66" s="35" t="inlineStr">
        <is>
          <t>Invest. Prep. Corrupción</t>
        </is>
      </c>
      <c r="E66" s="27" t="inlineStr">
        <is>
          <t>8°</t>
        </is>
      </c>
      <c r="F66" s="35" t="inlineStr">
        <is>
          <t>PALOMINO HUATUCO SAMMY KATHERINE</t>
        </is>
      </c>
      <c r="G66" s="24" t="inlineStr">
        <is>
          <t>Mujer</t>
        </is>
      </c>
      <c r="H66" s="37" t="inlineStr">
        <is>
          <t>S</t>
        </is>
      </c>
      <c r="I66" s="37" t="inlineStr">
        <is>
          <t>Supernumerario</t>
        </is>
      </c>
    </row>
    <row r="67">
      <c r="A67" s="46" t="inlineStr">
        <is>
          <t>Huancayo</t>
        </is>
      </c>
      <c r="B67" s="35" t="inlineStr">
        <is>
          <t>Huancayo</t>
        </is>
      </c>
      <c r="C67" s="44" t="inlineStr">
        <is>
          <t>J. ESP.</t>
        </is>
      </c>
      <c r="D67" s="35" t="inlineStr">
        <is>
          <t>Invest. Prep. Flagrancia</t>
        </is>
      </c>
      <c r="E67" s="27" t="inlineStr">
        <is>
          <t>3°</t>
        </is>
      </c>
      <c r="F67" s="35" t="inlineStr">
        <is>
          <t>GARCIA DEXTRE CLAUDIA BALDRAMINA</t>
        </is>
      </c>
      <c r="G67" s="21" t="inlineStr">
        <is>
          <t>Mujer</t>
        </is>
      </c>
      <c r="H67" s="22" t="inlineStr">
        <is>
          <t>S</t>
        </is>
      </c>
      <c r="I67" s="22" t="inlineStr">
        <is>
          <t>Supernumerario</t>
        </is>
      </c>
    </row>
    <row r="68">
      <c r="A68" s="46" t="inlineStr">
        <is>
          <t>Huancayo</t>
        </is>
      </c>
      <c r="B68" s="35" t="inlineStr">
        <is>
          <t>Huancayo</t>
        </is>
      </c>
      <c r="C68" s="44" t="inlineStr">
        <is>
          <t>J. ESP.</t>
        </is>
      </c>
      <c r="D68" s="35" t="inlineStr">
        <is>
          <t>Invest. Prep. Flagrancia</t>
        </is>
      </c>
      <c r="E68" s="27" t="inlineStr">
        <is>
          <t>4°</t>
        </is>
      </c>
      <c r="F68" s="35" t="inlineStr">
        <is>
          <t>LONGARAY CASTRO ROGER OMAR</t>
        </is>
      </c>
      <c r="G68" s="24" t="inlineStr">
        <is>
          <t>Varón</t>
        </is>
      </c>
      <c r="H68" s="37" t="inlineStr">
        <is>
          <t>T</t>
        </is>
      </c>
      <c r="I68" s="37" t="inlineStr">
        <is>
          <t>Titular</t>
        </is>
      </c>
    </row>
    <row r="69">
      <c r="A69" s="46" t="inlineStr">
        <is>
          <t>Huancayo</t>
        </is>
      </c>
      <c r="B69" s="35" t="inlineStr">
        <is>
          <t>Huancayo</t>
        </is>
      </c>
      <c r="C69" s="44" t="inlineStr">
        <is>
          <t>J. ESP.</t>
        </is>
      </c>
      <c r="D69" s="35" t="inlineStr">
        <is>
          <t>Invest. Prep. VCM</t>
        </is>
      </c>
      <c r="E69" s="27" t="inlineStr">
        <is>
          <t>1°</t>
        </is>
      </c>
      <c r="F69" s="35" t="inlineStr">
        <is>
          <t>GUTIERREZ HUAMAN HOOVER OSCAR</t>
        </is>
      </c>
      <c r="G69" s="24" t="inlineStr">
        <is>
          <t>Varón</t>
        </is>
      </c>
      <c r="H69" s="37" t="inlineStr">
        <is>
          <t>S</t>
        </is>
      </c>
      <c r="I69" s="37" t="inlineStr">
        <is>
          <t>Supernumerario</t>
        </is>
      </c>
    </row>
    <row r="70">
      <c r="A70" s="46" t="inlineStr">
        <is>
          <t>Huancayo</t>
        </is>
      </c>
      <c r="B70" s="35" t="inlineStr">
        <is>
          <t>Huancayo</t>
        </is>
      </c>
      <c r="C70" s="44" t="inlineStr">
        <is>
          <t>J. ESP.</t>
        </is>
      </c>
      <c r="D70" s="35" t="inlineStr">
        <is>
          <t>Invest. Prep. VCM</t>
        </is>
      </c>
      <c r="E70" s="27" t="inlineStr">
        <is>
          <t>2°</t>
        </is>
      </c>
      <c r="F70" s="35" t="inlineStr">
        <is>
          <t>JINES RAFAEL MARIBEL</t>
        </is>
      </c>
      <c r="G70" s="21" t="inlineStr">
        <is>
          <t>Mujer</t>
        </is>
      </c>
      <c r="H70" s="37" t="inlineStr">
        <is>
          <t>S</t>
        </is>
      </c>
      <c r="I70" s="37" t="inlineStr">
        <is>
          <t>Supernumerario</t>
        </is>
      </c>
    </row>
    <row r="71">
      <c r="A71" s="46" t="inlineStr">
        <is>
          <t>Huancayo</t>
        </is>
      </c>
      <c r="B71" s="35" t="inlineStr">
        <is>
          <t>Huancayo</t>
        </is>
      </c>
      <c r="C71" s="44" t="inlineStr">
        <is>
          <t>J. ESP.</t>
        </is>
      </c>
      <c r="D71" s="35" t="inlineStr">
        <is>
          <t>Invest. Prep. VCM</t>
        </is>
      </c>
      <c r="E71" s="27" t="inlineStr">
        <is>
          <t>3°</t>
        </is>
      </c>
      <c r="F71" s="35" t="inlineStr">
        <is>
          <t>ROJAS CHANCASANAMPA MICHAEL HENRY</t>
        </is>
      </c>
      <c r="G71" s="24" t="inlineStr">
        <is>
          <t>Varón</t>
        </is>
      </c>
      <c r="H71" s="37" t="inlineStr">
        <is>
          <t>S</t>
        </is>
      </c>
      <c r="I71" s="37" t="inlineStr">
        <is>
          <t>Supernumerario</t>
        </is>
      </c>
    </row>
    <row r="72">
      <c r="A72" s="46" t="inlineStr">
        <is>
          <t>Huancayo</t>
        </is>
      </c>
      <c r="B72" s="35" t="inlineStr">
        <is>
          <t>Huancayo</t>
        </is>
      </c>
      <c r="C72" s="44" t="inlineStr">
        <is>
          <t>J. ESP.</t>
        </is>
      </c>
      <c r="D72" s="35" t="inlineStr">
        <is>
          <t>Invest. Preparatoria</t>
        </is>
      </c>
      <c r="E72" s="27" t="inlineStr">
        <is>
          <t>1°</t>
        </is>
      </c>
      <c r="F72" s="35" t="inlineStr">
        <is>
          <t>HERRERA RIVAS RAFAEL AGUSTIN</t>
        </is>
      </c>
      <c r="G72" s="21" t="inlineStr">
        <is>
          <t>Varón</t>
        </is>
      </c>
      <c r="H72" s="37" t="inlineStr">
        <is>
          <t>S</t>
        </is>
      </c>
      <c r="I72" s="37" t="inlineStr">
        <is>
          <t>Supernumerario</t>
        </is>
      </c>
    </row>
    <row r="73">
      <c r="A73" s="46" t="inlineStr">
        <is>
          <t>Huancayo</t>
        </is>
      </c>
      <c r="B73" s="35" t="inlineStr">
        <is>
          <t>Huancayo</t>
        </is>
      </c>
      <c r="C73" s="44" t="inlineStr">
        <is>
          <t>J. ESP.</t>
        </is>
      </c>
      <c r="D73" s="35" t="inlineStr">
        <is>
          <t>Invest. Preparatoria</t>
        </is>
      </c>
      <c r="E73" s="27" t="inlineStr">
        <is>
          <t>2°</t>
        </is>
      </c>
      <c r="F73" s="35" t="inlineStr">
        <is>
          <t>BELLO MERLO EVER</t>
        </is>
      </c>
      <c r="G73" s="21" t="inlineStr">
        <is>
          <t>Varón</t>
        </is>
      </c>
      <c r="H73" s="22" t="inlineStr">
        <is>
          <t>T</t>
        </is>
      </c>
      <c r="I73" s="22" t="inlineStr">
        <is>
          <t>Titular</t>
        </is>
      </c>
    </row>
    <row r="74">
      <c r="A74" s="46" t="inlineStr">
        <is>
          <t>Huancayo</t>
        </is>
      </c>
      <c r="B74" s="35" t="inlineStr">
        <is>
          <t>Huancayo</t>
        </is>
      </c>
      <c r="C74" s="44" t="inlineStr">
        <is>
          <t>J. ESP.</t>
        </is>
      </c>
      <c r="D74" s="35" t="inlineStr">
        <is>
          <t>Invest. Preparatoria</t>
        </is>
      </c>
      <c r="E74" s="27" t="inlineStr">
        <is>
          <t>6°</t>
        </is>
      </c>
      <c r="F74" s="35" t="inlineStr">
        <is>
          <t>GUADALUPE ULLOA RUBEN CESARIO</t>
        </is>
      </c>
      <c r="G74" s="21" t="inlineStr">
        <is>
          <t>Varón</t>
        </is>
      </c>
      <c r="H74" s="23" t="inlineStr">
        <is>
          <t>S</t>
        </is>
      </c>
      <c r="I74" s="23" t="inlineStr">
        <is>
          <t>Supernumerario</t>
        </is>
      </c>
    </row>
    <row r="75">
      <c r="A75" s="46" t="inlineStr">
        <is>
          <t>Huancayo</t>
        </is>
      </c>
      <c r="B75" s="35" t="inlineStr">
        <is>
          <t>San Agustín de Cajas</t>
        </is>
      </c>
      <c r="C75" s="43" t="inlineStr">
        <is>
          <t>JPL</t>
        </is>
      </c>
      <c r="D75" s="35" t="inlineStr">
        <is>
          <t>Civil</t>
        </is>
      </c>
      <c r="E75" s="27" t="n"/>
      <c r="F75" s="35" t="inlineStr">
        <is>
          <t>DUEÑAS IZARRA FLOR DE LIZ</t>
        </is>
      </c>
      <c r="G75" s="24" t="inlineStr">
        <is>
          <t>Mujer</t>
        </is>
      </c>
      <c r="H75" s="22" t="inlineStr">
        <is>
          <t>S</t>
        </is>
      </c>
      <c r="I75" s="22" t="inlineStr">
        <is>
          <t>Supernumerario</t>
        </is>
      </c>
    </row>
    <row r="76">
      <c r="A76" s="46" t="inlineStr">
        <is>
          <t>Huancayo</t>
        </is>
      </c>
      <c r="B76" s="35" t="inlineStr">
        <is>
          <t>Huancayo</t>
        </is>
      </c>
      <c r="C76" s="43" t="inlineStr">
        <is>
          <t>JPL</t>
        </is>
      </c>
      <c r="D76" s="35" t="inlineStr">
        <is>
          <t>Civil</t>
        </is>
      </c>
      <c r="E76" s="27" t="inlineStr">
        <is>
          <t>1°</t>
        </is>
      </c>
      <c r="F76" s="35" t="inlineStr">
        <is>
          <t>JORGE RAMIREZ KATHYA CORINA</t>
        </is>
      </c>
      <c r="G76" s="21" t="inlineStr">
        <is>
          <t>Mujer</t>
        </is>
      </c>
      <c r="H76" s="22" t="inlineStr">
        <is>
          <t>S</t>
        </is>
      </c>
      <c r="I76" s="22" t="inlineStr">
        <is>
          <t>Supernumerario</t>
        </is>
      </c>
    </row>
    <row r="77">
      <c r="A77" s="46" t="inlineStr">
        <is>
          <t>Huancayo</t>
        </is>
      </c>
      <c r="B77" s="35" t="inlineStr">
        <is>
          <t>Chilca</t>
        </is>
      </c>
      <c r="C77" s="43" t="inlineStr">
        <is>
          <t>JPL</t>
        </is>
      </c>
      <c r="D77" s="35" t="inlineStr">
        <is>
          <t>Civil</t>
        </is>
      </c>
      <c r="E77" s="27" t="inlineStr">
        <is>
          <t>1°</t>
        </is>
      </c>
      <c r="F77" s="35" t="inlineStr">
        <is>
          <t>CHAUCAYANQUI ZORRILLA RUTH</t>
        </is>
      </c>
      <c r="G77" s="21" t="inlineStr">
        <is>
          <t>Mujer</t>
        </is>
      </c>
      <c r="H77" s="22" t="inlineStr">
        <is>
          <t>S</t>
        </is>
      </c>
      <c r="I77" s="22" t="inlineStr">
        <is>
          <t>Supernumerario</t>
        </is>
      </c>
    </row>
    <row r="78">
      <c r="A78" s="46" t="inlineStr">
        <is>
          <t>Huancayo</t>
        </is>
      </c>
      <c r="B78" s="35" t="inlineStr">
        <is>
          <t>Huancayo</t>
        </is>
      </c>
      <c r="C78" s="43" t="inlineStr">
        <is>
          <t>JPL</t>
        </is>
      </c>
      <c r="D78" s="35" t="inlineStr">
        <is>
          <t>Civil</t>
        </is>
      </c>
      <c r="E78" s="27" t="inlineStr">
        <is>
          <t>2°</t>
        </is>
      </c>
      <c r="F78" s="35" t="inlineStr">
        <is>
          <t>CAMARENA CAMARENA MARCO ANTONIO</t>
        </is>
      </c>
      <c r="G78" s="21" t="inlineStr">
        <is>
          <t>Varón</t>
        </is>
      </c>
      <c r="H78" s="22" t="inlineStr">
        <is>
          <t>S</t>
        </is>
      </c>
      <c r="I78" s="22" t="inlineStr">
        <is>
          <t>Supernumerario</t>
        </is>
      </c>
    </row>
    <row r="79">
      <c r="A79" s="46" t="inlineStr">
        <is>
          <t>Huancayo</t>
        </is>
      </c>
      <c r="B79" s="35" t="inlineStr">
        <is>
          <t>Chilca</t>
        </is>
      </c>
      <c r="C79" s="43" t="inlineStr">
        <is>
          <t>JPL</t>
        </is>
      </c>
      <c r="D79" s="35" t="inlineStr">
        <is>
          <t>Civil</t>
        </is>
      </c>
      <c r="E79" s="27" t="inlineStr">
        <is>
          <t>2°</t>
        </is>
      </c>
      <c r="F79" s="35" t="inlineStr">
        <is>
          <t>CASTILLO AYALA MILANOVA DELIA</t>
        </is>
      </c>
      <c r="G79" s="24" t="inlineStr">
        <is>
          <t>Mujer</t>
        </is>
      </c>
      <c r="H79" s="22" t="inlineStr">
        <is>
          <t>S</t>
        </is>
      </c>
      <c r="I79" s="22" t="inlineStr">
        <is>
          <t>Supernumerario</t>
        </is>
      </c>
    </row>
    <row r="80">
      <c r="A80" s="46" t="inlineStr">
        <is>
          <t>Huancayo</t>
        </is>
      </c>
      <c r="B80" s="35" t="inlineStr">
        <is>
          <t>Huancayo</t>
        </is>
      </c>
      <c r="C80" s="43" t="inlineStr">
        <is>
          <t>JPL</t>
        </is>
      </c>
      <c r="D80" s="35" t="inlineStr">
        <is>
          <t>Civil</t>
        </is>
      </c>
      <c r="E80" s="27" t="inlineStr">
        <is>
          <t>3°</t>
        </is>
      </c>
      <c r="F80" s="35" t="inlineStr">
        <is>
          <t>CORILLOCLLA SANCHEZ DIANA LUZ</t>
        </is>
      </c>
      <c r="G80" s="21" t="inlineStr">
        <is>
          <t>Mujer</t>
        </is>
      </c>
      <c r="H80" s="22" t="inlineStr">
        <is>
          <t>S</t>
        </is>
      </c>
      <c r="I80" s="22" t="inlineStr">
        <is>
          <t>Supernumerario</t>
        </is>
      </c>
    </row>
    <row r="81">
      <c r="A81" s="46" t="inlineStr">
        <is>
          <t>Huancayo</t>
        </is>
      </c>
      <c r="B81" s="35" t="inlineStr">
        <is>
          <t>El Tambo</t>
        </is>
      </c>
      <c r="C81" s="43" t="inlineStr">
        <is>
          <t>JPL</t>
        </is>
      </c>
      <c r="D81" s="35" t="inlineStr">
        <is>
          <t>Civil</t>
        </is>
      </c>
      <c r="E81" s="27" t="inlineStr">
        <is>
          <t>3°</t>
        </is>
      </c>
      <c r="F81" s="35" t="inlineStr">
        <is>
          <t>VELASQUEZ VIVAS ALIDA SOLEDAD</t>
        </is>
      </c>
      <c r="G81" s="21" t="inlineStr">
        <is>
          <t>Mujer</t>
        </is>
      </c>
      <c r="H81" s="22" t="inlineStr">
        <is>
          <t>T</t>
        </is>
      </c>
      <c r="I81" s="22" t="inlineStr">
        <is>
          <t>Titular</t>
        </is>
      </c>
    </row>
    <row r="82">
      <c r="A82" s="46" t="inlineStr">
        <is>
          <t>Huancayo</t>
        </is>
      </c>
      <c r="B82" s="35" t="inlineStr">
        <is>
          <t>El Tambo</t>
        </is>
      </c>
      <c r="C82" s="43" t="inlineStr">
        <is>
          <t>JPL</t>
        </is>
      </c>
      <c r="D82" s="35" t="inlineStr">
        <is>
          <t>Familia</t>
        </is>
      </c>
      <c r="E82" s="27" t="inlineStr">
        <is>
          <t>1°</t>
        </is>
      </c>
      <c r="F82" s="35" t="inlineStr">
        <is>
          <t>ALANYA CASTILLO MIGUEL ANGEL</t>
        </is>
      </c>
      <c r="G82" s="24" t="inlineStr">
        <is>
          <t>Varón</t>
        </is>
      </c>
      <c r="H82" s="22" t="inlineStr">
        <is>
          <t>T</t>
        </is>
      </c>
      <c r="I82" s="22" t="inlineStr">
        <is>
          <t>Titular</t>
        </is>
      </c>
    </row>
    <row r="83">
      <c r="A83" s="46" t="inlineStr">
        <is>
          <t>Huancayo</t>
        </is>
      </c>
      <c r="B83" s="35" t="inlineStr">
        <is>
          <t>El Tambo</t>
        </is>
      </c>
      <c r="C83" s="43" t="inlineStr">
        <is>
          <t>JPL</t>
        </is>
      </c>
      <c r="D83" s="35" t="inlineStr">
        <is>
          <t>Familia</t>
        </is>
      </c>
      <c r="E83" s="27" t="inlineStr">
        <is>
          <t>2°</t>
        </is>
      </c>
      <c r="F83" s="35" t="inlineStr">
        <is>
          <t>URIBE MORAN MIGUEL ANGEL</t>
        </is>
      </c>
      <c r="G83" s="21" t="inlineStr">
        <is>
          <t>Varón</t>
        </is>
      </c>
      <c r="H83" s="22" t="inlineStr">
        <is>
          <t>S</t>
        </is>
      </c>
      <c r="I83" s="22" t="inlineStr">
        <is>
          <t>Supernumerario</t>
        </is>
      </c>
    </row>
    <row r="84">
      <c r="A84" s="46" t="inlineStr">
        <is>
          <t>Huancayo</t>
        </is>
      </c>
      <c r="B84" s="35" t="inlineStr">
        <is>
          <t>Huancayo</t>
        </is>
      </c>
      <c r="C84" s="42" t="inlineStr">
        <is>
          <t>JPL</t>
        </is>
      </c>
      <c r="D84" s="35" t="inlineStr">
        <is>
          <t>Laboral</t>
        </is>
      </c>
      <c r="E84" s="27" t="n"/>
      <c r="F84" s="35" t="inlineStr">
        <is>
          <t>BARRIOS MORALES LUZ MARIBEL</t>
        </is>
      </c>
      <c r="G84" s="21" t="inlineStr">
        <is>
          <t>Mujer</t>
        </is>
      </c>
      <c r="H84" s="37" t="inlineStr">
        <is>
          <t>S</t>
        </is>
      </c>
      <c r="I84" s="37" t="inlineStr">
        <is>
          <t>Supernumerario</t>
        </is>
      </c>
    </row>
    <row r="85">
      <c r="A85" s="46" t="inlineStr">
        <is>
          <t>Huancayo</t>
        </is>
      </c>
      <c r="B85" s="35" t="inlineStr">
        <is>
          <t>El Tambo</t>
        </is>
      </c>
      <c r="C85" s="42" t="inlineStr">
        <is>
          <t>JPL</t>
        </is>
      </c>
      <c r="D85" s="35" t="inlineStr">
        <is>
          <t>Penal</t>
        </is>
      </c>
      <c r="E85" s="27" t="inlineStr">
        <is>
          <t>4°</t>
        </is>
      </c>
      <c r="F85" s="35" t="inlineStr">
        <is>
          <t>ARAUJO MONTES NELVA MICARELLI</t>
        </is>
      </c>
      <c r="G85" s="21" t="inlineStr">
        <is>
          <t>Mujer</t>
        </is>
      </c>
      <c r="H85" s="22" t="inlineStr">
        <is>
          <t>S</t>
        </is>
      </c>
      <c r="I85" s="22" t="inlineStr">
        <is>
          <t>Supernumerario</t>
        </is>
      </c>
    </row>
    <row r="86">
      <c r="A86" s="46" t="inlineStr">
        <is>
          <t>Tarma</t>
        </is>
      </c>
      <c r="B86" s="35" t="inlineStr">
        <is>
          <t>Tarma</t>
        </is>
      </c>
      <c r="C86" s="44" t="inlineStr">
        <is>
          <t>J. ESP.</t>
        </is>
      </c>
      <c r="D86" s="35" t="inlineStr">
        <is>
          <t>Civil</t>
        </is>
      </c>
      <c r="E86" s="27" t="n"/>
      <c r="F86" s="35" t="inlineStr">
        <is>
          <t>PEÑA TORRES EVGUENI</t>
        </is>
      </c>
      <c r="G86" s="24" t="inlineStr">
        <is>
          <t>Varón</t>
        </is>
      </c>
      <c r="H86" s="37" t="inlineStr">
        <is>
          <t>T</t>
        </is>
      </c>
      <c r="I86" s="37" t="inlineStr">
        <is>
          <t>Titular</t>
        </is>
      </c>
    </row>
    <row r="87">
      <c r="A87" s="46" t="inlineStr">
        <is>
          <t>Tarma</t>
        </is>
      </c>
      <c r="B87" s="35" t="inlineStr">
        <is>
          <t>Tarma</t>
        </is>
      </c>
      <c r="C87" s="44" t="inlineStr">
        <is>
          <t>J. ESP.</t>
        </is>
      </c>
      <c r="D87" s="35" t="inlineStr">
        <is>
          <t>Familia VCM</t>
        </is>
      </c>
      <c r="E87" s="27" t="n"/>
      <c r="F87" s="35" t="inlineStr">
        <is>
          <t>ROJAS LAZARO WILLIAM RAUL</t>
        </is>
      </c>
      <c r="G87" s="21" t="inlineStr">
        <is>
          <t>Varón</t>
        </is>
      </c>
      <c r="H87" s="22" t="inlineStr">
        <is>
          <t>P</t>
        </is>
      </c>
      <c r="I87" s="22" t="inlineStr">
        <is>
          <t>Provisional</t>
        </is>
      </c>
    </row>
    <row r="88">
      <c r="A88" s="46" t="inlineStr">
        <is>
          <t>Tarma</t>
        </is>
      </c>
      <c r="B88" s="35" t="inlineStr">
        <is>
          <t>Tarma</t>
        </is>
      </c>
      <c r="C88" s="44" t="inlineStr">
        <is>
          <t>J. ESP.</t>
        </is>
      </c>
      <c r="D88" s="35" t="inlineStr">
        <is>
          <t>Penal Unipersonal</t>
        </is>
      </c>
      <c r="E88" s="27" t="inlineStr">
        <is>
          <t>1°</t>
        </is>
      </c>
      <c r="F88" s="35" t="inlineStr">
        <is>
          <t>CACHAY ROJAS MARIA DOLORES</t>
        </is>
      </c>
      <c r="G88" s="24" t="inlineStr">
        <is>
          <t>Mujer</t>
        </is>
      </c>
      <c r="H88" s="22" t="inlineStr">
        <is>
          <t>T</t>
        </is>
      </c>
      <c r="I88" s="22" t="inlineStr">
        <is>
          <t>Titular</t>
        </is>
      </c>
    </row>
    <row r="89">
      <c r="A89" s="46" t="inlineStr">
        <is>
          <t>Tarma</t>
        </is>
      </c>
      <c r="B89" s="35" t="inlineStr">
        <is>
          <t>Tarma</t>
        </is>
      </c>
      <c r="C89" s="44" t="inlineStr">
        <is>
          <t>J. ESP.</t>
        </is>
      </c>
      <c r="D89" s="35" t="inlineStr">
        <is>
          <t>Penal Unipersonal</t>
        </is>
      </c>
      <c r="E89" s="27" t="inlineStr">
        <is>
          <t>2°</t>
        </is>
      </c>
      <c r="F89" s="35" t="inlineStr">
        <is>
          <t>QUISPE VILCAPOMA RICHARTH</t>
        </is>
      </c>
      <c r="G89" s="21" t="inlineStr">
        <is>
          <t>Varón</t>
        </is>
      </c>
      <c r="H89" s="37" t="inlineStr">
        <is>
          <t>T</t>
        </is>
      </c>
      <c r="I89" s="37" t="inlineStr">
        <is>
          <t>Titular</t>
        </is>
      </c>
    </row>
    <row r="90">
      <c r="A90" s="46" t="inlineStr">
        <is>
          <t>Tarma</t>
        </is>
      </c>
      <c r="B90" s="35" t="inlineStr">
        <is>
          <t>Tarma</t>
        </is>
      </c>
      <c r="C90" s="44" t="inlineStr">
        <is>
          <t>J. ESP.</t>
        </is>
      </c>
      <c r="D90" s="35" t="inlineStr">
        <is>
          <t>Penal Unipersonal</t>
        </is>
      </c>
      <c r="E90" s="27" t="inlineStr">
        <is>
          <t>3°</t>
        </is>
      </c>
      <c r="F90" s="35" t="inlineStr">
        <is>
          <t>VILLANUEVA ALTAMIRANO EDWIN WILSON</t>
        </is>
      </c>
      <c r="G90" s="24" t="inlineStr">
        <is>
          <t>Varón</t>
        </is>
      </c>
      <c r="H90" s="37" t="inlineStr">
        <is>
          <t>T</t>
        </is>
      </c>
      <c r="I90" s="37" t="inlineStr">
        <is>
          <t>Titular</t>
        </is>
      </c>
    </row>
    <row r="91">
      <c r="A91" s="46" t="inlineStr">
        <is>
          <t>Tarma</t>
        </is>
      </c>
      <c r="B91" s="35" t="inlineStr">
        <is>
          <t>Tarma</t>
        </is>
      </c>
      <c r="C91" s="44" t="inlineStr">
        <is>
          <t>J. ESP.</t>
        </is>
      </c>
      <c r="D91" s="35" t="inlineStr">
        <is>
          <t>Invest. Prep. Flagrancia</t>
        </is>
      </c>
      <c r="E91" s="27" t="inlineStr">
        <is>
          <t>2°</t>
        </is>
      </c>
      <c r="F91" s="35" t="inlineStr">
        <is>
          <t>CARHUAMACA CLAUDIO ALEX JUAN</t>
        </is>
      </c>
      <c r="G91" s="21" t="inlineStr">
        <is>
          <t>Varón</t>
        </is>
      </c>
      <c r="H91" s="37" t="inlineStr">
        <is>
          <t>P</t>
        </is>
      </c>
      <c r="I91" s="37" t="inlineStr">
        <is>
          <t>Provisional</t>
        </is>
      </c>
    </row>
    <row r="92">
      <c r="A92" s="46" t="inlineStr">
        <is>
          <t>Tarma</t>
        </is>
      </c>
      <c r="B92" s="35" t="inlineStr">
        <is>
          <t>Tarma</t>
        </is>
      </c>
      <c r="C92" s="44" t="inlineStr">
        <is>
          <t>J. ESP.</t>
        </is>
      </c>
      <c r="D92" s="35" t="inlineStr">
        <is>
          <t>Invest. Preparatoria</t>
        </is>
      </c>
      <c r="E92" s="27" t="inlineStr">
        <is>
          <t>1°</t>
        </is>
      </c>
      <c r="F92" s="35" t="inlineStr">
        <is>
          <t>DIESTRA VIVAR EDGARDO RODOLFO</t>
        </is>
      </c>
      <c r="G92" s="24" t="inlineStr">
        <is>
          <t>Varón</t>
        </is>
      </c>
      <c r="H92" s="37" t="inlineStr">
        <is>
          <t>T</t>
        </is>
      </c>
      <c r="I92" s="37" t="inlineStr">
        <is>
          <t>Titular</t>
        </is>
      </c>
    </row>
    <row r="93">
      <c r="A93" s="46" t="inlineStr">
        <is>
          <t>Tarma</t>
        </is>
      </c>
      <c r="B93" s="35" t="inlineStr">
        <is>
          <t>Tarma</t>
        </is>
      </c>
      <c r="C93" s="42" t="inlineStr">
        <is>
          <t>JPL</t>
        </is>
      </c>
      <c r="D93" s="35" t="inlineStr">
        <is>
          <t>Civil</t>
        </is>
      </c>
      <c r="E93" s="27" t="inlineStr">
        <is>
          <t>1°</t>
        </is>
      </c>
      <c r="F93" s="35" t="inlineStr">
        <is>
          <t>SILVERIO CAMAHUALI GIULIANA PAOLA</t>
        </is>
      </c>
      <c r="G93" s="21" t="inlineStr">
        <is>
          <t>Mujer</t>
        </is>
      </c>
      <c r="H93" s="37" t="inlineStr">
        <is>
          <t>S</t>
        </is>
      </c>
      <c r="I93" s="37" t="inlineStr">
        <is>
          <t>Supernumerario</t>
        </is>
      </c>
    </row>
    <row r="94">
      <c r="A94" s="46" t="inlineStr">
        <is>
          <t>Jauja</t>
        </is>
      </c>
      <c r="B94" s="35" t="inlineStr">
        <is>
          <t>Jauja</t>
        </is>
      </c>
      <c r="C94" s="44" t="inlineStr">
        <is>
          <t>J. ESP.</t>
        </is>
      </c>
      <c r="D94" s="35" t="inlineStr">
        <is>
          <t>Civil</t>
        </is>
      </c>
      <c r="E94" s="27" t="n"/>
      <c r="F94" s="35" t="inlineStr">
        <is>
          <t>BORDA VARGAS ITALO ARTURO</t>
        </is>
      </c>
      <c r="G94" s="21" t="inlineStr">
        <is>
          <t>Varón</t>
        </is>
      </c>
      <c r="H94" s="22" t="inlineStr">
        <is>
          <t>T</t>
        </is>
      </c>
      <c r="I94" s="22" t="inlineStr">
        <is>
          <t>Titular</t>
        </is>
      </c>
    </row>
    <row r="95">
      <c r="A95" s="46" t="inlineStr">
        <is>
          <t>Jauja</t>
        </is>
      </c>
      <c r="B95" s="35" t="inlineStr">
        <is>
          <t>Jauja</t>
        </is>
      </c>
      <c r="C95" s="44" t="inlineStr">
        <is>
          <t>J. ESP.</t>
        </is>
      </c>
      <c r="D95" s="35" t="inlineStr">
        <is>
          <t>Familia</t>
        </is>
      </c>
      <c r="E95" s="27" t="n"/>
      <c r="F95" s="35" t="inlineStr">
        <is>
          <t>RUCABADO ROMERO BLANCA NORMA</t>
        </is>
      </c>
      <c r="G95" s="21" t="inlineStr">
        <is>
          <t>Mujer</t>
        </is>
      </c>
      <c r="H95" s="23" t="inlineStr">
        <is>
          <t>P</t>
        </is>
      </c>
      <c r="I95" s="23" t="inlineStr">
        <is>
          <t>Provisional</t>
        </is>
      </c>
    </row>
    <row r="96">
      <c r="A96" s="46" t="inlineStr">
        <is>
          <t>Jauja</t>
        </is>
      </c>
      <c r="B96" s="35" t="inlineStr">
        <is>
          <t>Jauja</t>
        </is>
      </c>
      <c r="C96" s="44" t="inlineStr">
        <is>
          <t>J. ESP.</t>
        </is>
      </c>
      <c r="D96" s="35" t="inlineStr">
        <is>
          <t>Penal Unipersonal</t>
        </is>
      </c>
      <c r="E96" s="27" t="inlineStr">
        <is>
          <t>1°</t>
        </is>
      </c>
      <c r="F96" s="35" t="inlineStr">
        <is>
          <t>PINO PUMA HENRY</t>
        </is>
      </c>
      <c r="G96" s="24" t="inlineStr">
        <is>
          <t>Varón</t>
        </is>
      </c>
      <c r="H96" s="22" t="inlineStr">
        <is>
          <t>T</t>
        </is>
      </c>
      <c r="I96" s="22" t="inlineStr">
        <is>
          <t>Titular</t>
        </is>
      </c>
    </row>
    <row r="97">
      <c r="A97" s="46" t="inlineStr">
        <is>
          <t>Jauja</t>
        </is>
      </c>
      <c r="B97" s="35" t="inlineStr">
        <is>
          <t>Jauja</t>
        </is>
      </c>
      <c r="C97" s="44" t="inlineStr">
        <is>
          <t>J. ESP.</t>
        </is>
      </c>
      <c r="D97" s="35" t="inlineStr">
        <is>
          <t>Penal Unipersonal</t>
        </is>
      </c>
      <c r="E97" s="27" t="inlineStr">
        <is>
          <t>2°</t>
        </is>
      </c>
      <c r="F97" s="35" t="inlineStr">
        <is>
          <t>ARROYO VELITA HUGO</t>
        </is>
      </c>
      <c r="G97" s="21" t="inlineStr">
        <is>
          <t>Varón</t>
        </is>
      </c>
      <c r="H97" s="22" t="inlineStr">
        <is>
          <t>T</t>
        </is>
      </c>
      <c r="I97" s="22" t="inlineStr">
        <is>
          <t>Titular</t>
        </is>
      </c>
    </row>
    <row r="98">
      <c r="A98" s="46" t="inlineStr">
        <is>
          <t>Jauja</t>
        </is>
      </c>
      <c r="B98" s="35" t="inlineStr">
        <is>
          <t>Jauja</t>
        </is>
      </c>
      <c r="C98" s="44" t="inlineStr">
        <is>
          <t>J. ESP.</t>
        </is>
      </c>
      <c r="D98" s="35" t="inlineStr">
        <is>
          <t>Invest. Preparatoria</t>
        </is>
      </c>
      <c r="E98" s="27" t="inlineStr">
        <is>
          <t>1°</t>
        </is>
      </c>
      <c r="F98" s="35" t="inlineStr">
        <is>
          <t>PERALTA PAMPA LIZBETH PAOLA</t>
        </is>
      </c>
      <c r="G98" s="21" t="inlineStr">
        <is>
          <t>Mujer</t>
        </is>
      </c>
      <c r="H98" s="23" t="inlineStr">
        <is>
          <t>T</t>
        </is>
      </c>
      <c r="I98" s="23" t="inlineStr">
        <is>
          <t>Titular</t>
        </is>
      </c>
    </row>
    <row r="99">
      <c r="A99" s="46" t="inlineStr">
        <is>
          <t>Jauja</t>
        </is>
      </c>
      <c r="B99" s="35" t="inlineStr">
        <is>
          <t>Jauja</t>
        </is>
      </c>
      <c r="C99" s="44" t="inlineStr">
        <is>
          <t>J. ESP.</t>
        </is>
      </c>
      <c r="D99" s="35" t="inlineStr">
        <is>
          <t>Invest. Preparatoria</t>
        </is>
      </c>
      <c r="E99" s="27" t="inlineStr">
        <is>
          <t>2°</t>
        </is>
      </c>
      <c r="F99" s="35" t="inlineStr">
        <is>
          <t>HUAMAN CARRASCO SEGUNDO JUAN</t>
        </is>
      </c>
      <c r="G99" s="21" t="inlineStr">
        <is>
          <t>Varón</t>
        </is>
      </c>
      <c r="H99" s="22" t="inlineStr">
        <is>
          <t>T</t>
        </is>
      </c>
      <c r="I99" s="22" t="inlineStr">
        <is>
          <t>Titular</t>
        </is>
      </c>
    </row>
    <row r="100">
      <c r="A100" s="46" t="inlineStr">
        <is>
          <t>Jauja</t>
        </is>
      </c>
      <c r="B100" s="35" t="inlineStr">
        <is>
          <t>Jauja</t>
        </is>
      </c>
      <c r="C100" s="42" t="inlineStr">
        <is>
          <t>JPL</t>
        </is>
      </c>
      <c r="D100" s="35" t="inlineStr">
        <is>
          <t>Civil</t>
        </is>
      </c>
      <c r="E100" s="27" t="n"/>
      <c r="F100" s="35" t="inlineStr">
        <is>
          <t>MAMANI ESCOBAR CHRISTIAN ESBIARDO</t>
        </is>
      </c>
      <c r="G100" s="21" t="inlineStr">
        <is>
          <t>Varón</t>
        </is>
      </c>
      <c r="H100" s="22" t="inlineStr">
        <is>
          <t>S</t>
        </is>
      </c>
      <c r="I100" s="22" t="inlineStr">
        <is>
          <t>Supernumerario</t>
        </is>
      </c>
    </row>
    <row r="101">
      <c r="A101" s="46" t="inlineStr">
        <is>
          <t>Chupaca</t>
        </is>
      </c>
      <c r="B101" s="35" t="inlineStr">
        <is>
          <t>Chupaca</t>
        </is>
      </c>
      <c r="C101" s="44" t="inlineStr">
        <is>
          <t>J. ESP.</t>
        </is>
      </c>
      <c r="D101" s="35" t="inlineStr">
        <is>
          <t>Civil</t>
        </is>
      </c>
      <c r="E101" s="27" t="n"/>
      <c r="F101" s="35" t="inlineStr">
        <is>
          <t>LUQUE PINTO JORGE RENE</t>
        </is>
      </c>
      <c r="G101" s="24" t="inlineStr">
        <is>
          <t>Varón</t>
        </is>
      </c>
      <c r="H101" s="22" t="inlineStr">
        <is>
          <t>T</t>
        </is>
      </c>
      <c r="I101" s="22" t="inlineStr">
        <is>
          <t>Titular</t>
        </is>
      </c>
    </row>
    <row r="102">
      <c r="A102" s="46" t="inlineStr">
        <is>
          <t>Chupaca</t>
        </is>
      </c>
      <c r="B102" s="35" t="inlineStr">
        <is>
          <t>Chupaca</t>
        </is>
      </c>
      <c r="C102" s="44" t="inlineStr">
        <is>
          <t>J. ESP.</t>
        </is>
      </c>
      <c r="D102" s="35" t="inlineStr">
        <is>
          <t>Civil Mixto Trans.</t>
        </is>
      </c>
      <c r="E102" s="27" t="n"/>
      <c r="F102" s="35" t="inlineStr">
        <is>
          <t>JIMÉNEZ PATIÑO HENRY JUAN</t>
        </is>
      </c>
      <c r="G102" s="21" t="inlineStr">
        <is>
          <t>Varón</t>
        </is>
      </c>
      <c r="H102" s="22" t="inlineStr">
        <is>
          <t>S</t>
        </is>
      </c>
      <c r="I102" s="22" t="inlineStr">
        <is>
          <t>Supernumerario</t>
        </is>
      </c>
    </row>
    <row r="103">
      <c r="A103" s="46" t="inlineStr">
        <is>
          <t>Chupaca</t>
        </is>
      </c>
      <c r="B103" s="35" t="inlineStr">
        <is>
          <t>Chupaca</t>
        </is>
      </c>
      <c r="C103" s="44" t="inlineStr">
        <is>
          <t>J. ESP.</t>
        </is>
      </c>
      <c r="D103" s="35" t="inlineStr">
        <is>
          <t>Penal Unipersonal</t>
        </is>
      </c>
      <c r="E103" s="27" t="n"/>
      <c r="F103" s="35" t="inlineStr">
        <is>
          <t>CURIÑAUPA MEDINA MARIO LUIS</t>
        </is>
      </c>
      <c r="G103" s="21" t="inlineStr">
        <is>
          <t>Varón</t>
        </is>
      </c>
      <c r="H103" s="23" t="inlineStr">
        <is>
          <t>T</t>
        </is>
      </c>
      <c r="I103" s="23" t="inlineStr">
        <is>
          <t>Titular</t>
        </is>
      </c>
    </row>
    <row r="104">
      <c r="A104" s="46" t="inlineStr">
        <is>
          <t>Chupaca</t>
        </is>
      </c>
      <c r="B104" s="35" t="inlineStr">
        <is>
          <t>Chupaca</t>
        </is>
      </c>
      <c r="C104" s="44" t="inlineStr">
        <is>
          <t>J. ESP.</t>
        </is>
      </c>
      <c r="D104" s="35" t="inlineStr">
        <is>
          <t>Invest. Preparatoria</t>
        </is>
      </c>
      <c r="E104" s="27" t="n"/>
      <c r="F104" s="35" t="inlineStr">
        <is>
          <t>ZEBALLOS HURTADO GILMAR LEONIDAS</t>
        </is>
      </c>
      <c r="G104" s="21" t="inlineStr">
        <is>
          <t>Varón</t>
        </is>
      </c>
      <c r="H104" s="23" t="inlineStr">
        <is>
          <t>T</t>
        </is>
      </c>
      <c r="I104" s="23" t="inlineStr">
        <is>
          <t>Titular</t>
        </is>
      </c>
    </row>
    <row r="105">
      <c r="A105" s="46" t="inlineStr">
        <is>
          <t>Chupaca</t>
        </is>
      </c>
      <c r="B105" s="35" t="inlineStr">
        <is>
          <t>Chupaca</t>
        </is>
      </c>
      <c r="C105" s="42" t="inlineStr">
        <is>
          <t>JPL</t>
        </is>
      </c>
      <c r="D105" s="35" t="inlineStr">
        <is>
          <t>Civil</t>
        </is>
      </c>
      <c r="E105" s="27" t="n"/>
      <c r="F105" s="35" t="inlineStr">
        <is>
          <t>DUEÑAS HINOJOSA ROY ROGER</t>
        </is>
      </c>
      <c r="G105" s="21" t="inlineStr">
        <is>
          <t>Varón</t>
        </is>
      </c>
      <c r="H105" s="22" t="inlineStr">
        <is>
          <t>S</t>
        </is>
      </c>
      <c r="I105" s="22" t="inlineStr">
        <is>
          <t>Supernumerario</t>
        </is>
      </c>
    </row>
    <row r="106">
      <c r="A106" s="46" t="inlineStr">
        <is>
          <t>Concepción</t>
        </is>
      </c>
      <c r="B106" s="35" t="inlineStr">
        <is>
          <t>Concepción</t>
        </is>
      </c>
      <c r="C106" s="44" t="inlineStr">
        <is>
          <t>J. ESP.</t>
        </is>
      </c>
      <c r="D106" s="35" t="inlineStr">
        <is>
          <t>Civil</t>
        </is>
      </c>
      <c r="E106" s="27" t="n"/>
      <c r="F106" s="35" t="inlineStr">
        <is>
          <t>ROJAS MORALES NADIA</t>
        </is>
      </c>
      <c r="G106" s="21" t="inlineStr">
        <is>
          <t>Mujer</t>
        </is>
      </c>
      <c r="H106" s="22" t="inlineStr">
        <is>
          <t>S</t>
        </is>
      </c>
      <c r="I106" s="22" t="inlineStr">
        <is>
          <t>Supernumerario</t>
        </is>
      </c>
    </row>
    <row r="107">
      <c r="A107" s="46" t="inlineStr">
        <is>
          <t>Concepción</t>
        </is>
      </c>
      <c r="B107" s="35" t="inlineStr">
        <is>
          <t>Concepción</t>
        </is>
      </c>
      <c r="C107" s="44" t="inlineStr">
        <is>
          <t>J. ESP.</t>
        </is>
      </c>
      <c r="D107" s="35" t="inlineStr">
        <is>
          <t>Penal Unipersonal</t>
        </is>
      </c>
      <c r="E107" s="27" t="n"/>
      <c r="F107" s="35" t="inlineStr">
        <is>
          <t>LANDEO ALVAREZ FERNAN OLAVO</t>
        </is>
      </c>
      <c r="G107" s="24" t="inlineStr">
        <is>
          <t>Varón</t>
        </is>
      </c>
      <c r="H107" s="22" t="inlineStr">
        <is>
          <t>P</t>
        </is>
      </c>
      <c r="I107" s="22" t="inlineStr">
        <is>
          <t>Provisional</t>
        </is>
      </c>
    </row>
    <row r="108">
      <c r="A108" s="46" t="inlineStr">
        <is>
          <t>Concepción</t>
        </is>
      </c>
      <c r="B108" s="35" t="inlineStr">
        <is>
          <t>Concepción</t>
        </is>
      </c>
      <c r="C108" s="44" t="inlineStr">
        <is>
          <t>J. ESP.</t>
        </is>
      </c>
      <c r="D108" s="35" t="inlineStr">
        <is>
          <t>Invest. Preparatoria</t>
        </is>
      </c>
      <c r="E108" s="27" t="n"/>
      <c r="F108" s="35" t="inlineStr">
        <is>
          <t>PALOMINO LEON FIDEL HUGO</t>
        </is>
      </c>
      <c r="G108" s="21" t="inlineStr">
        <is>
          <t>Varón</t>
        </is>
      </c>
      <c r="H108" s="22" t="inlineStr">
        <is>
          <t>T</t>
        </is>
      </c>
      <c r="I108" s="22" t="inlineStr">
        <is>
          <t>Titular</t>
        </is>
      </c>
    </row>
    <row r="109">
      <c r="A109" s="46" t="inlineStr">
        <is>
          <t>Concepción</t>
        </is>
      </c>
      <c r="B109" s="35" t="inlineStr">
        <is>
          <t>Concepción</t>
        </is>
      </c>
      <c r="C109" s="42" t="inlineStr">
        <is>
          <t>JPL</t>
        </is>
      </c>
      <c r="D109" s="35" t="inlineStr">
        <is>
          <t>Civil</t>
        </is>
      </c>
      <c r="E109" s="27" t="n"/>
      <c r="F109" s="35" t="inlineStr">
        <is>
          <t>ROMAN RAMOS JIMMY ANTHONY</t>
        </is>
      </c>
      <c r="G109" s="21" t="inlineStr">
        <is>
          <t>Varón</t>
        </is>
      </c>
      <c r="H109" s="23" t="inlineStr">
        <is>
          <t>S</t>
        </is>
      </c>
      <c r="I109" s="23" t="inlineStr">
        <is>
          <t>Supernumerario</t>
        </is>
      </c>
    </row>
    <row r="110">
      <c r="A110" s="46" t="inlineStr">
        <is>
          <t>Yauli</t>
        </is>
      </c>
      <c r="B110" s="35" t="inlineStr">
        <is>
          <t>La Oroya</t>
        </is>
      </c>
      <c r="C110" s="44" t="inlineStr">
        <is>
          <t>J. ESP.</t>
        </is>
      </c>
      <c r="D110" s="35" t="inlineStr">
        <is>
          <t>Civil</t>
        </is>
      </c>
      <c r="E110" s="27" t="n"/>
      <c r="F110" s="35" t="inlineStr">
        <is>
          <t>SANTANA SOCUALAYA JESUS</t>
        </is>
      </c>
      <c r="G110" s="21" t="inlineStr">
        <is>
          <t>Varón</t>
        </is>
      </c>
      <c r="H110" s="23" t="inlineStr">
        <is>
          <t>T</t>
        </is>
      </c>
      <c r="I110" s="23" t="inlineStr">
        <is>
          <t>Titular</t>
        </is>
      </c>
    </row>
    <row r="111">
      <c r="A111" s="46" t="inlineStr">
        <is>
          <t>Yauli</t>
        </is>
      </c>
      <c r="B111" s="35" t="inlineStr">
        <is>
          <t>La Oroya</t>
        </is>
      </c>
      <c r="C111" s="44" t="inlineStr">
        <is>
          <t>J. ESP.</t>
        </is>
      </c>
      <c r="D111" s="35" t="inlineStr">
        <is>
          <t>Penal Unipersonal</t>
        </is>
      </c>
      <c r="E111" s="27" t="n"/>
      <c r="F111" s="35" t="inlineStr">
        <is>
          <t>LLAMOCA MILLA SONIA AURORA</t>
        </is>
      </c>
      <c r="G111" s="21" t="inlineStr">
        <is>
          <t>Mujer</t>
        </is>
      </c>
      <c r="H111" s="22" t="inlineStr">
        <is>
          <t>T</t>
        </is>
      </c>
      <c r="I111" s="22" t="inlineStr">
        <is>
          <t>Titular</t>
        </is>
      </c>
    </row>
    <row r="112">
      <c r="A112" s="46" t="inlineStr">
        <is>
          <t>Yauli</t>
        </is>
      </c>
      <c r="B112" s="35" t="inlineStr">
        <is>
          <t>La Oroya</t>
        </is>
      </c>
      <c r="C112" s="44" t="inlineStr">
        <is>
          <t>J. ESP.</t>
        </is>
      </c>
      <c r="D112" s="35" t="inlineStr">
        <is>
          <t>Invest. Preparatoria</t>
        </is>
      </c>
      <c r="E112" s="27" t="n"/>
      <c r="F112" s="35" t="inlineStr">
        <is>
          <t>SANTANA ANTEZANA MARIA ELENA</t>
        </is>
      </c>
      <c r="G112" s="21" t="inlineStr">
        <is>
          <t>Mujer</t>
        </is>
      </c>
      <c r="H112" s="22" t="inlineStr">
        <is>
          <t>T</t>
        </is>
      </c>
      <c r="I112" s="22" t="inlineStr">
        <is>
          <t>Titular</t>
        </is>
      </c>
    </row>
    <row r="113">
      <c r="A113" s="46" t="inlineStr">
        <is>
          <t>Yauli</t>
        </is>
      </c>
      <c r="B113" s="35" t="inlineStr">
        <is>
          <t>La Oroya</t>
        </is>
      </c>
      <c r="C113" s="42" t="inlineStr">
        <is>
          <t>JPL</t>
        </is>
      </c>
      <c r="D113" s="35" t="inlineStr">
        <is>
          <t>Civil</t>
        </is>
      </c>
      <c r="E113" s="27" t="n"/>
      <c r="F113" s="35" t="inlineStr">
        <is>
          <t>HUACHOS BENITES ELIZABETH</t>
        </is>
      </c>
      <c r="G113" s="24" t="inlineStr">
        <is>
          <t>Mujer</t>
        </is>
      </c>
      <c r="H113" s="22" t="inlineStr">
        <is>
          <t>S</t>
        </is>
      </c>
      <c r="I113" s="22" t="inlineStr">
        <is>
          <t>Supernumerario</t>
        </is>
      </c>
    </row>
    <row r="114">
      <c r="A114" s="46" t="inlineStr">
        <is>
          <t>Junín</t>
        </is>
      </c>
      <c r="B114" s="35" t="inlineStr">
        <is>
          <t>Junín</t>
        </is>
      </c>
      <c r="C114" s="44" t="inlineStr">
        <is>
          <t>J. ESP.</t>
        </is>
      </c>
      <c r="D114" s="35" t="inlineStr">
        <is>
          <t>Civil</t>
        </is>
      </c>
      <c r="E114" s="27" t="n"/>
      <c r="F114" s="35" t="inlineStr">
        <is>
          <t>CORZO HINOJOSA SAUL YUNISHIRO</t>
        </is>
      </c>
      <c r="G114" s="21" t="inlineStr">
        <is>
          <t>Varón</t>
        </is>
      </c>
      <c r="H114" s="22" t="inlineStr">
        <is>
          <t>S</t>
        </is>
      </c>
      <c r="I114" s="22" t="inlineStr">
        <is>
          <t>Supernumerario</t>
        </is>
      </c>
    </row>
    <row r="115">
      <c r="A115" s="46" t="inlineStr">
        <is>
          <t>Junín</t>
        </is>
      </c>
      <c r="B115" s="35" t="inlineStr">
        <is>
          <t>Junín</t>
        </is>
      </c>
      <c r="C115" s="44" t="inlineStr">
        <is>
          <t>J. ESP.</t>
        </is>
      </c>
      <c r="D115" s="35" t="inlineStr">
        <is>
          <t>Penal Unipersonal</t>
        </is>
      </c>
      <c r="E115" s="27" t="n"/>
      <c r="F115" s="35" t="inlineStr">
        <is>
          <t>CASTILLO RIVERA ELMER</t>
        </is>
      </c>
      <c r="G115" s="21" t="inlineStr">
        <is>
          <t>Varón</t>
        </is>
      </c>
      <c r="H115" s="23" t="inlineStr">
        <is>
          <t>T</t>
        </is>
      </c>
      <c r="I115" s="23" t="inlineStr">
        <is>
          <t>Titular</t>
        </is>
      </c>
    </row>
    <row r="116">
      <c r="A116" s="46" t="inlineStr">
        <is>
          <t>Junín</t>
        </is>
      </c>
      <c r="B116" s="35" t="inlineStr">
        <is>
          <t>Junín</t>
        </is>
      </c>
      <c r="C116" s="44" t="inlineStr">
        <is>
          <t>J. ESP.</t>
        </is>
      </c>
      <c r="D116" s="35" t="inlineStr">
        <is>
          <t>Invest. Preparatoria</t>
        </is>
      </c>
      <c r="E116" s="27" t="n"/>
      <c r="F116" s="35" t="inlineStr">
        <is>
          <t>CALIZAYA HUALPA RUBEN TOMAS</t>
        </is>
      </c>
      <c r="G116" s="21" t="inlineStr">
        <is>
          <t>Varón</t>
        </is>
      </c>
      <c r="H116" s="23" t="inlineStr">
        <is>
          <t>T</t>
        </is>
      </c>
      <c r="I116" s="23" t="inlineStr">
        <is>
          <t>Titular</t>
        </is>
      </c>
    </row>
    <row r="117">
      <c r="A117" s="46" t="inlineStr">
        <is>
          <t>Junín</t>
        </is>
      </c>
      <c r="B117" s="35" t="inlineStr">
        <is>
          <t>Junín</t>
        </is>
      </c>
      <c r="C117" s="42" t="inlineStr">
        <is>
          <t>JPL</t>
        </is>
      </c>
      <c r="D117" s="35" t="inlineStr">
        <is>
          <t>Civil</t>
        </is>
      </c>
      <c r="E117" s="27" t="n"/>
      <c r="F117" s="35" t="inlineStr">
        <is>
          <t>PEREZ NAVARRO LENIN RODER</t>
        </is>
      </c>
      <c r="G117" s="21" t="inlineStr">
        <is>
          <t>Varón</t>
        </is>
      </c>
      <c r="H117" s="22" t="inlineStr">
        <is>
          <t>S</t>
        </is>
      </c>
      <c r="I117" s="22" t="inlineStr">
        <is>
          <t>Supernumerario</t>
        </is>
      </c>
    </row>
    <row r="118">
      <c r="A118" s="46" t="inlineStr">
        <is>
          <t>Tayacaja</t>
        </is>
      </c>
      <c r="B118" s="35" t="inlineStr">
        <is>
          <t>Pampas</t>
        </is>
      </c>
      <c r="C118" s="44" t="inlineStr">
        <is>
          <t>J. ESP.</t>
        </is>
      </c>
      <c r="D118" s="35" t="inlineStr">
        <is>
          <t>Civil</t>
        </is>
      </c>
      <c r="E118" s="27" t="n"/>
      <c r="F118" s="35" t="inlineStr">
        <is>
          <t>LLALLICO MANZANEDO ALBERTO HENRY</t>
        </is>
      </c>
      <c r="G118" s="21" t="inlineStr">
        <is>
          <t>Varón</t>
        </is>
      </c>
      <c r="H118" s="22" t="inlineStr">
        <is>
          <t>S</t>
        </is>
      </c>
      <c r="I118" s="22" t="inlineStr">
        <is>
          <t>Supernumerario</t>
        </is>
      </c>
    </row>
    <row r="119">
      <c r="A119" s="46" t="inlineStr">
        <is>
          <t>Tayacaja</t>
        </is>
      </c>
      <c r="B119" s="35" t="inlineStr">
        <is>
          <t>Pampas</t>
        </is>
      </c>
      <c r="C119" s="44" t="inlineStr">
        <is>
          <t>J. ESP.</t>
        </is>
      </c>
      <c r="D119" s="35" t="inlineStr">
        <is>
          <t>Penal Unipersonal</t>
        </is>
      </c>
      <c r="E119" s="27" t="n"/>
      <c r="F119" s="35" t="inlineStr">
        <is>
          <t>PINEDA CHAVEZ ROXANA</t>
        </is>
      </c>
      <c r="G119" s="24" t="inlineStr">
        <is>
          <t>Mujer</t>
        </is>
      </c>
      <c r="H119" s="22" t="inlineStr">
        <is>
          <t>T</t>
        </is>
      </c>
      <c r="I119" s="22" t="inlineStr">
        <is>
          <t>Titular</t>
        </is>
      </c>
    </row>
    <row r="120">
      <c r="A120" s="46" t="inlineStr">
        <is>
          <t>Tayacaja</t>
        </is>
      </c>
      <c r="B120" s="35" t="inlineStr">
        <is>
          <t>Pampas</t>
        </is>
      </c>
      <c r="C120" s="44" t="inlineStr">
        <is>
          <t>J. ESP.</t>
        </is>
      </c>
      <c r="D120" s="35" t="inlineStr">
        <is>
          <t>Invest. Preparatoria</t>
        </is>
      </c>
      <c r="E120" s="27" t="n"/>
      <c r="F120" s="35" t="inlineStr">
        <is>
          <t>MATOS CENTENO JOSE LEONEL</t>
        </is>
      </c>
      <c r="G120" s="21" t="inlineStr">
        <is>
          <t>Varón</t>
        </is>
      </c>
      <c r="H120" s="22" t="inlineStr">
        <is>
          <t>P</t>
        </is>
      </c>
      <c r="I120" s="22" t="inlineStr">
        <is>
          <t>Provisional</t>
        </is>
      </c>
    </row>
    <row r="121">
      <c r="A121" s="46" t="inlineStr">
        <is>
          <t>Tayacaja</t>
        </is>
      </c>
      <c r="B121" s="35" t="inlineStr">
        <is>
          <t>Pampas</t>
        </is>
      </c>
      <c r="C121" s="42" t="inlineStr">
        <is>
          <t>JPL</t>
        </is>
      </c>
      <c r="D121" s="35" t="inlineStr">
        <is>
          <t>Civil</t>
        </is>
      </c>
      <c r="E121" s="27" t="n"/>
      <c r="F121" s="35" t="inlineStr">
        <is>
          <t>MARTINEZ GARCIA ABEL YAHEVE</t>
        </is>
      </c>
      <c r="G121" s="21" t="inlineStr">
        <is>
          <t>Varón</t>
        </is>
      </c>
      <c r="H121" s="23" t="inlineStr">
        <is>
          <t>S</t>
        </is>
      </c>
      <c r="I121" s="23" t="inlineStr">
        <is>
          <t>Supernumerario</t>
        </is>
      </c>
    </row>
    <row r="122">
      <c r="A122" s="46" t="inlineStr">
        <is>
          <t>Tayacaja</t>
        </is>
      </c>
      <c r="B122" s="35" t="inlineStr">
        <is>
          <t>Acobamba</t>
        </is>
      </c>
      <c r="C122" s="42" t="inlineStr">
        <is>
          <t>JPL</t>
        </is>
      </c>
      <c r="D122" s="35" t="inlineStr">
        <is>
          <t>Civil</t>
        </is>
      </c>
      <c r="E122" s="27" t="n"/>
      <c r="F122" s="35" t="inlineStr">
        <is>
          <t>QUIROZ POZO WALKER</t>
        </is>
      </c>
      <c r="G122" s="21" t="inlineStr">
        <is>
          <t>Varón</t>
        </is>
      </c>
      <c r="H122" s="23" t="inlineStr">
        <is>
          <t>S</t>
        </is>
      </c>
      <c r="I122" s="23" t="inlineStr">
        <is>
          <t>Supernumerario</t>
        </is>
      </c>
    </row>
    <row r="123">
      <c r="A123" s="46" t="inlineStr">
        <is>
          <t>Tayacaja</t>
        </is>
      </c>
      <c r="B123" s="35" t="inlineStr">
        <is>
          <t>Surcubamba</t>
        </is>
      </c>
      <c r="C123" s="42" t="inlineStr">
        <is>
          <t>JPL</t>
        </is>
      </c>
      <c r="D123" s="35" t="inlineStr">
        <is>
          <t>Civil</t>
        </is>
      </c>
      <c r="E123" s="27" t="n"/>
      <c r="F123" s="35" t="inlineStr">
        <is>
          <t>CUADRADO MARIN JORGE ALBERTO</t>
        </is>
      </c>
      <c r="G123" s="21" t="inlineStr">
        <is>
          <t>Varón</t>
        </is>
      </c>
      <c r="H123" s="22" t="inlineStr">
        <is>
          <t>S</t>
        </is>
      </c>
      <c r="I123" s="22" t="inlineStr">
        <is>
          <t>Supernumerario</t>
        </is>
      </c>
    </row>
  </sheetData>
  <mergeCells count="1">
    <mergeCell ref="A1:I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 codeName="Hoja8">
    <tabColor theme="7"/>
    <outlinePr summaryBelow="1" summaryRight="1"/>
    <pageSetUpPr/>
  </sheetPr>
  <dimension ref="A1:P77"/>
  <sheetViews>
    <sheetView topLeftCell="A43" zoomScaleNormal="100" workbookViewId="0">
      <selection activeCell="J10" sqref="J10"/>
    </sheetView>
  </sheetViews>
  <sheetFormatPr baseColWidth="10" defaultColWidth="8.7109375" defaultRowHeight="15"/>
  <cols>
    <col width="20" customWidth="1" style="2" min="1" max="1"/>
    <col width="36" bestFit="1" customWidth="1" style="2" min="2" max="2"/>
    <col width="14.140625" customWidth="1" style="2" min="3" max="7"/>
    <col width="8.7109375" customWidth="1" style="2" min="8" max="16384"/>
  </cols>
  <sheetData>
    <row r="1" ht="27.75" customHeight="1">
      <c r="A1" s="92" t="inlineStr">
        <is>
          <t>RESUMEN EJECUTIVO — CSJJ JUNÍN</t>
        </is>
      </c>
    </row>
    <row r="3" ht="15" customHeight="1">
      <c r="A3" s="93" t="inlineStr">
        <is>
          <t>AUDIENCIAS 2025 POR SEDE</t>
        </is>
      </c>
    </row>
    <row r="4" ht="25.5" customHeight="1">
      <c r="A4" s="51" t="inlineStr">
        <is>
          <t>SEDE</t>
        </is>
      </c>
      <c r="B4" s="51" t="inlineStr">
        <is>
          <t>PROGRAMADAS</t>
        </is>
      </c>
      <c r="C4" s="51" t="inlineStr">
        <is>
          <t>ATENDIDAS</t>
        </is>
      </c>
      <c r="D4" s="51" t="inlineStr">
        <is>
          <t>SUSPENDIDAS</t>
        </is>
      </c>
      <c r="E4" s="51" t="inlineStr">
        <is>
          <t>% ATENCIÓN</t>
        </is>
      </c>
      <c r="F4" s="51" t="inlineStr">
        <is>
          <t>% SUSPENSIÓN</t>
        </is>
      </c>
    </row>
    <row r="5">
      <c r="A5" s="52" t="inlineStr">
        <is>
          <t>Huancayo</t>
        </is>
      </c>
      <c r="B5" s="6" t="n">
        <v>40546</v>
      </c>
      <c r="C5" s="6" t="n">
        <v>40027</v>
      </c>
      <c r="D5" s="6" t="n">
        <v>43</v>
      </c>
      <c r="E5" s="8">
        <f>IF(B5&gt;0,C5/B5,"")</f>
        <v/>
      </c>
      <c r="F5" s="7">
        <f>IF(B5&gt;0,D5/B5,"")</f>
        <v/>
      </c>
    </row>
    <row r="6">
      <c r="A6" s="53" t="inlineStr">
        <is>
          <t>Tarma</t>
        </is>
      </c>
      <c r="B6" s="6" t="n">
        <v>2895</v>
      </c>
      <c r="C6" s="6" t="n">
        <v>2824</v>
      </c>
      <c r="D6" s="6" t="n">
        <v>45</v>
      </c>
      <c r="E6" s="8">
        <f>IF(B6&gt;0,C6/B6,"")</f>
        <v/>
      </c>
      <c r="F6" s="7">
        <f>IF(B6&gt;0,D6/B6,"")</f>
        <v/>
      </c>
    </row>
    <row r="7">
      <c r="A7" s="54" t="inlineStr">
        <is>
          <t>Chupaca</t>
        </is>
      </c>
      <c r="B7" s="6" t="n">
        <v>2904</v>
      </c>
      <c r="C7" s="6" t="n">
        <v>2883</v>
      </c>
      <c r="D7" s="6" t="n">
        <v>491</v>
      </c>
      <c r="E7" s="8">
        <f>IF(B7&gt;0,C7/B7,"")</f>
        <v/>
      </c>
      <c r="F7" s="7">
        <f>IF(B7&gt;0,D7/B7,"")</f>
        <v/>
      </c>
    </row>
    <row r="8">
      <c r="A8" s="55" t="inlineStr">
        <is>
          <t>Pampas</t>
        </is>
      </c>
      <c r="B8" s="6" t="n">
        <v>2424</v>
      </c>
      <c r="C8" s="6" t="n">
        <v>2421</v>
      </c>
      <c r="D8" s="6" t="n">
        <v>63</v>
      </c>
      <c r="E8" s="8">
        <f>IF(B8&gt;0,C8/B8,"")</f>
        <v/>
      </c>
      <c r="F8" s="7">
        <f>IF(B8&gt;0,D8/B8,"")</f>
        <v/>
      </c>
    </row>
    <row r="9">
      <c r="A9" s="56" t="inlineStr">
        <is>
          <t>Jauja</t>
        </is>
      </c>
      <c r="B9" s="6" t="n">
        <v>6702</v>
      </c>
      <c r="C9" s="6" t="n">
        <v>6677</v>
      </c>
      <c r="D9" s="6" t="n">
        <v>263</v>
      </c>
      <c r="E9" s="8">
        <f>IF(B9&gt;0,C9/B9,"")</f>
        <v/>
      </c>
      <c r="F9" s="7">
        <f>IF(B9&gt;0,D9/B9,"")</f>
        <v/>
      </c>
    </row>
    <row r="10">
      <c r="A10" s="57" t="inlineStr">
        <is>
          <t>Concepcion</t>
        </is>
      </c>
      <c r="B10" s="6" t="n">
        <v>2866</v>
      </c>
      <c r="C10" s="6" t="n">
        <v>2863</v>
      </c>
      <c r="D10" s="6" t="n">
        <v>267</v>
      </c>
      <c r="E10" s="8">
        <f>IF(B10&gt;0,C10/B10,"")</f>
        <v/>
      </c>
      <c r="F10" s="7">
        <f>IF(B10&gt;0,D10/B10,"")</f>
        <v/>
      </c>
    </row>
    <row r="11">
      <c r="A11" s="58" t="inlineStr">
        <is>
          <t>La Oroya</t>
        </is>
      </c>
      <c r="B11" s="6" t="n">
        <v>1954</v>
      </c>
      <c r="C11" s="6" t="n">
        <v>1884</v>
      </c>
      <c r="D11" s="6" t="n">
        <v>283</v>
      </c>
      <c r="E11" s="8">
        <f>IF(B11&gt;0,C11/B11,"")</f>
        <v/>
      </c>
      <c r="F11" s="7">
        <f>IF(B11&gt;0,D11/B11,"")</f>
        <v/>
      </c>
    </row>
    <row r="12">
      <c r="A12" s="59" t="inlineStr">
        <is>
          <t>Junin</t>
        </is>
      </c>
      <c r="B12" s="6" t="n">
        <v>536</v>
      </c>
      <c r="C12" s="6" t="n">
        <v>522</v>
      </c>
      <c r="D12" s="6" t="n">
        <v>115</v>
      </c>
      <c r="E12" s="8">
        <f>IF(B12&gt;0,C12/B12,"")</f>
        <v/>
      </c>
      <c r="F12" s="7">
        <f>IF(B12&gt;0,D12/B12,"")</f>
        <v/>
      </c>
    </row>
    <row r="13">
      <c r="A13" s="60" t="inlineStr">
        <is>
          <t>TOTAL</t>
        </is>
      </c>
      <c r="B13" s="61">
        <f>SUM(B5:B12)</f>
        <v/>
      </c>
      <c r="C13" s="61">
        <f>SUM(C5:C12)</f>
        <v/>
      </c>
      <c r="D13" s="61">
        <f>SUM(D5:D12)</f>
        <v/>
      </c>
      <c r="E13" s="62">
        <f>IF(B13&gt;0,C13/B13,"")</f>
        <v/>
      </c>
      <c r="F13" s="62">
        <f>IF(B13&gt;0,D13/B13,"")</f>
        <v/>
      </c>
    </row>
    <row r="14"/>
    <row r="15">
      <c r="A15" s="51" t="inlineStr">
        <is>
          <t>año</t>
        </is>
      </c>
      <c r="B15" s="51" t="inlineStr">
        <is>
          <t>juzgado</t>
        </is>
      </c>
      <c r="C15" s="51" t="inlineStr">
        <is>
          <t>programadas</t>
        </is>
      </c>
      <c r="D15" s="51" t="inlineStr">
        <is>
          <t>realizadas</t>
        </is>
      </c>
      <c r="E15" s="51" t="inlineStr">
        <is>
          <t>suspendidas</t>
        </is>
      </c>
      <c r="F15" s="51" t="inlineStr">
        <is>
          <t>% atención</t>
        </is>
      </c>
      <c r="G15" s="51" t="inlineStr">
        <is>
          <t>% suspensión</t>
        </is>
      </c>
    </row>
    <row r="16">
      <c r="A16" s="68" t="n">
        <v>2021</v>
      </c>
      <c r="B16" s="68" t="inlineStr">
        <is>
          <t>1 JIP</t>
        </is>
      </c>
      <c r="C16" s="68" t="n">
        <v>377</v>
      </c>
      <c r="D16" s="68" t="n">
        <v>341</v>
      </c>
      <c r="E16" s="68" t="n">
        <v>36</v>
      </c>
      <c r="F16" s="69" t="n">
        <v>0.905</v>
      </c>
      <c r="G16" s="69" t="n">
        <v>0.095</v>
      </c>
    </row>
    <row r="17">
      <c r="A17" s="68" t="n">
        <v>2021</v>
      </c>
      <c r="B17" s="68" t="inlineStr">
        <is>
          <t>2 JIP</t>
        </is>
      </c>
      <c r="C17" s="68" t="n">
        <v>402</v>
      </c>
      <c r="D17" s="68" t="n">
        <v>376</v>
      </c>
      <c r="E17" s="68" t="n">
        <v>26</v>
      </c>
      <c r="F17" s="69" t="n">
        <v>0.9350000000000001</v>
      </c>
      <c r="G17" s="69" t="n">
        <v>0.065</v>
      </c>
    </row>
    <row r="18">
      <c r="A18" s="68" t="n">
        <v>2021</v>
      </c>
      <c r="B18" s="68" t="inlineStr">
        <is>
          <t>3 JIP</t>
        </is>
      </c>
      <c r="C18" s="68" t="n">
        <v>435</v>
      </c>
      <c r="D18" s="68" t="n">
        <v>405</v>
      </c>
      <c r="E18" s="68" t="n">
        <v>30</v>
      </c>
      <c r="F18" s="69" t="n">
        <v>0.931</v>
      </c>
      <c r="G18" s="69" t="n">
        <v>0.06900000000000001</v>
      </c>
    </row>
    <row r="19">
      <c r="A19" s="68" t="n">
        <v>2021</v>
      </c>
      <c r="B19" s="68" t="inlineStr">
        <is>
          <t>1 JUP</t>
        </is>
      </c>
      <c r="C19" s="68" t="n">
        <v>375</v>
      </c>
      <c r="D19" s="68" t="n">
        <v>346</v>
      </c>
      <c r="E19" s="68" t="n">
        <v>29</v>
      </c>
      <c r="F19" s="69" t="n">
        <v>0.923</v>
      </c>
      <c r="G19" s="69" t="n">
        <v>0.077</v>
      </c>
    </row>
    <row r="20">
      <c r="A20" s="68" t="n">
        <v>2021</v>
      </c>
      <c r="B20" s="68" t="inlineStr">
        <is>
          <t>2 JUP</t>
        </is>
      </c>
      <c r="C20" s="68" t="n">
        <v>377</v>
      </c>
      <c r="D20" s="68" t="n">
        <v>333</v>
      </c>
      <c r="E20" s="68" t="n">
        <v>44</v>
      </c>
      <c r="F20" s="69" t="n">
        <v>0.883</v>
      </c>
      <c r="G20" s="69" t="n">
        <v>0.117</v>
      </c>
    </row>
    <row r="21">
      <c r="A21" s="68" t="n">
        <v>2021</v>
      </c>
      <c r="B21" s="68" t="inlineStr">
        <is>
          <t>3 JUP</t>
        </is>
      </c>
      <c r="C21" s="68" t="n">
        <v>298</v>
      </c>
      <c r="D21" s="68" t="n">
        <v>267</v>
      </c>
      <c r="E21" s="68" t="n">
        <v>31</v>
      </c>
      <c r="F21" s="69" t="n">
        <v>0.896</v>
      </c>
      <c r="G21" s="69" t="n">
        <v>0.104</v>
      </c>
    </row>
    <row r="22" ht="15" customHeight="1">
      <c r="A22" s="68" t="n">
        <v>2021</v>
      </c>
      <c r="B22" s="68" t="inlineStr">
        <is>
          <t>JPCC</t>
        </is>
      </c>
      <c r="C22" s="68" t="n">
        <v>490</v>
      </c>
      <c r="D22" s="68" t="n">
        <v>392</v>
      </c>
      <c r="E22" s="68" t="n">
        <v>98</v>
      </c>
      <c r="F22" s="69" t="n">
        <v>0.8</v>
      </c>
      <c r="G22" s="69" t="n">
        <v>0.2</v>
      </c>
    </row>
    <row r="23">
      <c r="A23" s="68" t="n">
        <v>2022</v>
      </c>
      <c r="B23" s="68" t="inlineStr">
        <is>
          <t>1 JIP</t>
        </is>
      </c>
      <c r="C23" s="68" t="n">
        <v>1519</v>
      </c>
      <c r="D23" s="68" t="n">
        <v>1371</v>
      </c>
      <c r="E23" s="68" t="n">
        <v>148</v>
      </c>
      <c r="F23" s="69" t="n">
        <v>0.903</v>
      </c>
      <c r="G23" s="69" t="n">
        <v>0.097</v>
      </c>
    </row>
    <row r="24">
      <c r="A24" s="68" t="n">
        <v>2022</v>
      </c>
      <c r="B24" s="68" t="inlineStr">
        <is>
          <t>2 JIP</t>
        </is>
      </c>
      <c r="C24" s="68" t="n">
        <v>1260</v>
      </c>
      <c r="D24" s="68" t="n">
        <v>1139</v>
      </c>
      <c r="E24" s="68" t="n">
        <v>121</v>
      </c>
      <c r="F24" s="69" t="n">
        <v>0.904</v>
      </c>
      <c r="G24" s="69" t="n">
        <v>0.096</v>
      </c>
    </row>
    <row r="25">
      <c r="A25" s="68" t="n">
        <v>2022</v>
      </c>
      <c r="B25" s="68" t="inlineStr">
        <is>
          <t>3 JIP</t>
        </is>
      </c>
      <c r="C25" s="68" t="n">
        <v>1109</v>
      </c>
      <c r="D25" s="68" t="n">
        <v>1030</v>
      </c>
      <c r="E25" s="68" t="n">
        <v>79</v>
      </c>
      <c r="F25" s="69" t="n">
        <v>0.929</v>
      </c>
      <c r="G25" s="69" t="n">
        <v>0.07099999999999999</v>
      </c>
    </row>
    <row r="26">
      <c r="A26" s="68" t="n">
        <v>2022</v>
      </c>
      <c r="B26" s="68" t="inlineStr">
        <is>
          <t>1 JUP</t>
        </is>
      </c>
      <c r="C26" s="68" t="n">
        <v>808</v>
      </c>
      <c r="D26" s="68" t="n">
        <v>733</v>
      </c>
      <c r="E26" s="68" t="n">
        <v>75</v>
      </c>
      <c r="F26" s="69" t="n">
        <v>0.907</v>
      </c>
      <c r="G26" s="69" t="n">
        <v>0.093</v>
      </c>
    </row>
    <row r="27">
      <c r="A27" s="68" t="n">
        <v>2022</v>
      </c>
      <c r="B27" s="68" t="inlineStr">
        <is>
          <t>2 JUP</t>
        </is>
      </c>
      <c r="C27" s="68" t="n">
        <v>768</v>
      </c>
      <c r="D27" s="68" t="n">
        <v>695</v>
      </c>
      <c r="E27" s="68" t="n">
        <v>73</v>
      </c>
      <c r="F27" s="69" t="n">
        <v>0.905</v>
      </c>
      <c r="G27" s="69" t="n">
        <v>0.095</v>
      </c>
    </row>
    <row r="28">
      <c r="A28" s="68" t="n">
        <v>2022</v>
      </c>
      <c r="B28" s="68" t="inlineStr">
        <is>
          <t>3 JUP</t>
        </is>
      </c>
      <c r="C28" s="68" t="n">
        <v>625</v>
      </c>
      <c r="D28" s="68" t="n">
        <v>579</v>
      </c>
      <c r="E28" s="68" t="n">
        <v>46</v>
      </c>
      <c r="F28" s="69" t="n">
        <v>0.926</v>
      </c>
      <c r="G28" s="69" t="n">
        <v>0.074</v>
      </c>
    </row>
    <row r="29">
      <c r="A29" s="68" t="n">
        <v>2022</v>
      </c>
      <c r="B29" s="68" t="inlineStr">
        <is>
          <t>JPCC</t>
        </is>
      </c>
      <c r="C29" s="68" t="n">
        <v>1651</v>
      </c>
      <c r="D29" s="68" t="n">
        <v>1456</v>
      </c>
      <c r="E29" s="68" t="n">
        <v>195</v>
      </c>
      <c r="F29" s="69" t="n">
        <v>0.882</v>
      </c>
      <c r="G29" s="69" t="n">
        <v>0.118</v>
      </c>
    </row>
    <row r="30">
      <c r="A30" s="68" t="n">
        <v>2023</v>
      </c>
      <c r="B30" s="68" t="inlineStr">
        <is>
          <t>1 JIP</t>
        </is>
      </c>
      <c r="C30" s="68" t="n">
        <v>1638</v>
      </c>
      <c r="D30" s="68" t="n">
        <v>1436</v>
      </c>
      <c r="E30" s="68" t="n">
        <v>202</v>
      </c>
      <c r="F30" s="69" t="n">
        <v>0.877</v>
      </c>
      <c r="G30" s="69" t="n">
        <v>0.123</v>
      </c>
    </row>
    <row r="31">
      <c r="A31" s="68" t="n">
        <v>2023</v>
      </c>
      <c r="B31" s="68" t="inlineStr">
        <is>
          <t>2 JIP</t>
        </is>
      </c>
      <c r="C31" s="68" t="n">
        <v>1462</v>
      </c>
      <c r="D31" s="68" t="n">
        <v>1284</v>
      </c>
      <c r="E31" s="68" t="n">
        <v>178</v>
      </c>
      <c r="F31" s="69" t="n">
        <v>0.878</v>
      </c>
      <c r="G31" s="69" t="n">
        <v>0.122</v>
      </c>
    </row>
    <row r="32">
      <c r="A32" s="68" t="n">
        <v>2023</v>
      </c>
      <c r="B32" s="68" t="inlineStr">
        <is>
          <t>3 JIP</t>
        </is>
      </c>
      <c r="C32" s="68" t="n">
        <v>1335</v>
      </c>
      <c r="D32" s="68" t="n">
        <v>1196</v>
      </c>
      <c r="E32" s="68" t="n">
        <v>139</v>
      </c>
      <c r="F32" s="69" t="n">
        <v>0.896</v>
      </c>
      <c r="G32" s="69" t="n">
        <v>0.104</v>
      </c>
    </row>
    <row r="33">
      <c r="A33" s="68" t="n">
        <v>2023</v>
      </c>
      <c r="B33" s="68" t="inlineStr">
        <is>
          <t>1 JUP</t>
        </is>
      </c>
      <c r="C33" s="68" t="n">
        <v>902</v>
      </c>
      <c r="D33" s="68" t="n">
        <v>842</v>
      </c>
      <c r="E33" s="68" t="n">
        <v>60</v>
      </c>
      <c r="F33" s="69" t="n">
        <v>0.9330000000000001</v>
      </c>
      <c r="G33" s="69" t="n">
        <v>0.067</v>
      </c>
    </row>
    <row r="34">
      <c r="A34" s="68" t="n">
        <v>2023</v>
      </c>
      <c r="B34" s="68" t="inlineStr">
        <is>
          <t>2 JUP</t>
        </is>
      </c>
      <c r="C34" s="68" t="n">
        <v>957</v>
      </c>
      <c r="D34" s="68" t="n">
        <v>888</v>
      </c>
      <c r="E34" s="68" t="n">
        <v>69</v>
      </c>
      <c r="F34" s="69" t="n">
        <v>0.928</v>
      </c>
      <c r="G34" s="69" t="n">
        <v>0.07199999999999999</v>
      </c>
    </row>
    <row r="35">
      <c r="A35" s="68" t="n">
        <v>2023</v>
      </c>
      <c r="B35" s="68" t="inlineStr">
        <is>
          <t>3 JUP</t>
        </is>
      </c>
      <c r="C35" s="68" t="n">
        <v>740</v>
      </c>
      <c r="D35" s="68" t="n">
        <v>680</v>
      </c>
      <c r="E35" s="68" t="n">
        <v>60</v>
      </c>
      <c r="F35" s="69" t="n">
        <v>0.919</v>
      </c>
      <c r="G35" s="69" t="n">
        <v>0.081</v>
      </c>
    </row>
    <row r="36">
      <c r="A36" s="68" t="n">
        <v>2023</v>
      </c>
      <c r="B36" s="68" t="inlineStr">
        <is>
          <t>JPCC</t>
        </is>
      </c>
      <c r="C36" s="68" t="n">
        <v>1217</v>
      </c>
      <c r="D36" s="68" t="n">
        <v>1090</v>
      </c>
      <c r="E36" s="68" t="n">
        <v>127</v>
      </c>
      <c r="F36" s="69" t="n">
        <v>0.896</v>
      </c>
      <c r="G36" s="69" t="n">
        <v>0.104</v>
      </c>
    </row>
    <row r="37">
      <c r="A37" s="68" t="n">
        <v>2023</v>
      </c>
      <c r="B37" s="68" t="inlineStr">
        <is>
          <t>1 JPCT</t>
        </is>
      </c>
      <c r="C37" s="68" t="n">
        <v>152</v>
      </c>
      <c r="D37" s="68" t="n">
        <v>151</v>
      </c>
      <c r="E37" s="68" t="n">
        <v>1</v>
      </c>
      <c r="F37" s="69" t="n">
        <v>0.993</v>
      </c>
      <c r="G37" s="69" t="n">
        <v>0.007</v>
      </c>
    </row>
    <row r="38">
      <c r="A38" s="68" t="n">
        <v>2024</v>
      </c>
      <c r="B38" s="68" t="inlineStr">
        <is>
          <t>1 JIP</t>
        </is>
      </c>
      <c r="C38" s="68" t="n">
        <v>1705</v>
      </c>
      <c r="D38" s="68" t="n">
        <v>1494</v>
      </c>
      <c r="E38" s="68" t="n">
        <v>211</v>
      </c>
      <c r="F38" s="69" t="n">
        <v>0.876</v>
      </c>
      <c r="G38" s="69" t="n">
        <v>0.124</v>
      </c>
    </row>
    <row r="39">
      <c r="A39" s="68" t="n">
        <v>2024</v>
      </c>
      <c r="B39" s="68" t="inlineStr">
        <is>
          <t>2 JIP</t>
        </is>
      </c>
      <c r="C39" s="68" t="n">
        <v>1739</v>
      </c>
      <c r="D39" s="68" t="n">
        <v>1497</v>
      </c>
      <c r="E39" s="68" t="n">
        <v>242</v>
      </c>
      <c r="F39" s="69" t="n">
        <v>0.861</v>
      </c>
      <c r="G39" s="69" t="n">
        <v>0.139</v>
      </c>
    </row>
    <row r="40">
      <c r="A40" s="68" t="n">
        <v>2024</v>
      </c>
      <c r="B40" s="68" t="inlineStr">
        <is>
          <t>3 JIP</t>
        </is>
      </c>
      <c r="C40" s="68" t="n">
        <v>1662</v>
      </c>
      <c r="D40" s="68" t="n">
        <v>1465</v>
      </c>
      <c r="E40" s="68" t="n">
        <v>197</v>
      </c>
      <c r="F40" s="69" t="n">
        <v>0.881</v>
      </c>
      <c r="G40" s="69" t="n">
        <v>0.119</v>
      </c>
    </row>
    <row r="41">
      <c r="A41" s="68" t="n">
        <v>2024</v>
      </c>
      <c r="B41" s="68" t="inlineStr">
        <is>
          <t>1 JUP</t>
        </is>
      </c>
      <c r="C41" s="68" t="n">
        <v>867</v>
      </c>
      <c r="D41" s="68" t="n">
        <v>795</v>
      </c>
      <c r="E41" s="68" t="n">
        <v>72</v>
      </c>
      <c r="F41" s="69" t="n">
        <v>0.917</v>
      </c>
      <c r="G41" s="69" t="n">
        <v>0.083</v>
      </c>
    </row>
    <row r="42">
      <c r="A42" s="68" t="n">
        <v>2024</v>
      </c>
      <c r="B42" s="68" t="inlineStr">
        <is>
          <t>2 JUP</t>
        </is>
      </c>
      <c r="C42" s="68" t="n">
        <v>953</v>
      </c>
      <c r="D42" s="68" t="n">
        <v>879</v>
      </c>
      <c r="E42" s="68" t="n">
        <v>74</v>
      </c>
      <c r="F42" s="69" t="n">
        <v>0.922</v>
      </c>
      <c r="G42" s="69" t="n">
        <v>0.078</v>
      </c>
    </row>
    <row r="43">
      <c r="A43" s="68" t="n">
        <v>2024</v>
      </c>
      <c r="B43" s="68" t="inlineStr">
        <is>
          <t>3 JUP</t>
        </is>
      </c>
      <c r="C43" s="68" t="n">
        <v>848</v>
      </c>
      <c r="D43" s="68" t="n">
        <v>785</v>
      </c>
      <c r="E43" s="68" t="n">
        <v>63</v>
      </c>
      <c r="F43" s="69" t="n">
        <v>0.926</v>
      </c>
      <c r="G43" s="69" t="n">
        <v>0.074</v>
      </c>
    </row>
    <row r="44">
      <c r="A44" s="68" t="n">
        <v>2024</v>
      </c>
      <c r="B44" s="68" t="inlineStr">
        <is>
          <t>JPCC</t>
        </is>
      </c>
      <c r="C44" s="68" t="n">
        <v>835</v>
      </c>
      <c r="D44" s="68" t="n">
        <v>682</v>
      </c>
      <c r="E44" s="68" t="n">
        <v>153</v>
      </c>
      <c r="F44" s="69" t="n">
        <v>0.8169999999999999</v>
      </c>
      <c r="G44" s="69" t="n">
        <v>0.183</v>
      </c>
    </row>
    <row r="45">
      <c r="A45" s="68" t="n">
        <v>2024</v>
      </c>
      <c r="B45" s="68" t="inlineStr">
        <is>
          <t>1 JPCT</t>
        </is>
      </c>
      <c r="C45" s="68" t="n">
        <v>1366</v>
      </c>
      <c r="D45" s="68" t="n">
        <v>1214</v>
      </c>
      <c r="E45" s="68" t="n">
        <v>152</v>
      </c>
      <c r="F45" s="69" t="n">
        <v>0.889</v>
      </c>
      <c r="G45" s="69" t="n">
        <v>0.111</v>
      </c>
    </row>
    <row r="46">
      <c r="A46" s="68" t="n">
        <v>2025</v>
      </c>
      <c r="B46" s="68" t="inlineStr">
        <is>
          <t>1 JIP</t>
        </is>
      </c>
      <c r="C46" s="68" t="n">
        <v>1554</v>
      </c>
      <c r="D46" s="68" t="n">
        <v>1388</v>
      </c>
      <c r="E46" s="68" t="n">
        <v>166</v>
      </c>
      <c r="F46" s="69" t="n">
        <v>0.893</v>
      </c>
      <c r="G46" s="69" t="n">
        <v>0.107</v>
      </c>
    </row>
    <row r="47">
      <c r="A47" s="68" t="n">
        <v>2025</v>
      </c>
      <c r="B47" s="68" t="inlineStr">
        <is>
          <t>2 JIP</t>
        </is>
      </c>
      <c r="C47" s="68" t="n">
        <v>1675</v>
      </c>
      <c r="D47" s="68" t="n">
        <v>1457</v>
      </c>
      <c r="E47" s="68" t="n">
        <v>218</v>
      </c>
      <c r="F47" s="69" t="n">
        <v>0.87</v>
      </c>
      <c r="G47" s="69" t="n">
        <v>0.13</v>
      </c>
    </row>
    <row r="48">
      <c r="A48" s="68" t="n">
        <v>2025</v>
      </c>
      <c r="B48" s="68" t="inlineStr">
        <is>
          <t>3 JIP</t>
        </is>
      </c>
      <c r="C48" s="68" t="n">
        <v>1710</v>
      </c>
      <c r="D48" s="68" t="n">
        <v>1503</v>
      </c>
      <c r="E48" s="68" t="n">
        <v>207</v>
      </c>
      <c r="F48" s="69" t="n">
        <v>0.879</v>
      </c>
      <c r="G48" s="69" t="n">
        <v>0.121</v>
      </c>
    </row>
    <row r="49">
      <c r="A49" s="68" t="n">
        <v>2025</v>
      </c>
      <c r="B49" s="68" t="inlineStr">
        <is>
          <t>1 JUP</t>
        </is>
      </c>
      <c r="C49" s="68" t="n">
        <v>1010</v>
      </c>
      <c r="D49" s="68" t="n">
        <v>921</v>
      </c>
      <c r="E49" s="68" t="n">
        <v>89</v>
      </c>
      <c r="F49" s="69" t="n">
        <v>0.912</v>
      </c>
      <c r="G49" s="69" t="n">
        <v>0.08799999999999999</v>
      </c>
    </row>
    <row r="50">
      <c r="A50" s="68" t="n">
        <v>2025</v>
      </c>
      <c r="B50" s="68" t="inlineStr">
        <is>
          <t>2 JUP</t>
        </is>
      </c>
      <c r="C50" s="68" t="n">
        <v>1100</v>
      </c>
      <c r="D50" s="68" t="n">
        <v>1005</v>
      </c>
      <c r="E50" s="68" t="n">
        <v>95</v>
      </c>
      <c r="F50" s="69" t="n">
        <v>0.914</v>
      </c>
      <c r="G50" s="69" t="n">
        <v>0.08599999999999999</v>
      </c>
    </row>
    <row r="51">
      <c r="A51" s="68" t="n">
        <v>2025</v>
      </c>
      <c r="B51" s="68" t="inlineStr">
        <is>
          <t>3 JUP</t>
        </is>
      </c>
      <c r="C51" s="68" t="n">
        <v>1045</v>
      </c>
      <c r="D51" s="68" t="n">
        <v>969</v>
      </c>
      <c r="E51" s="68" t="n">
        <v>76</v>
      </c>
      <c r="F51" s="69" t="n">
        <v>0.927</v>
      </c>
      <c r="G51" s="69" t="n">
        <v>0.073</v>
      </c>
    </row>
    <row r="52">
      <c r="A52" s="68" t="n">
        <v>2025</v>
      </c>
      <c r="B52" s="68" t="inlineStr">
        <is>
          <t>JPCC</t>
        </is>
      </c>
      <c r="C52" s="68" t="n">
        <v>1145</v>
      </c>
      <c r="D52" s="68" t="n">
        <v>979</v>
      </c>
      <c r="E52" s="68" t="n">
        <v>166</v>
      </c>
      <c r="F52" s="69" t="n">
        <v>0.855</v>
      </c>
      <c r="G52" s="69" t="n">
        <v>0.145</v>
      </c>
    </row>
    <row r="53">
      <c r="A53" s="68" t="n">
        <v>2025</v>
      </c>
      <c r="B53" s="68" t="inlineStr">
        <is>
          <t>1 JPCT</t>
        </is>
      </c>
      <c r="C53" s="68" t="n">
        <v>1727</v>
      </c>
      <c r="D53" s="68" t="n">
        <v>1571</v>
      </c>
      <c r="E53" s="68" t="n">
        <v>156</v>
      </c>
      <c r="F53" s="69" t="n">
        <v>0.91</v>
      </c>
      <c r="G53" s="69" t="n">
        <v>0.09</v>
      </c>
    </row>
    <row r="54">
      <c r="A54" s="68" t="n">
        <v>2025</v>
      </c>
      <c r="B54" s="68" t="inlineStr">
        <is>
          <t>2 JPCT</t>
        </is>
      </c>
      <c r="C54" s="68" t="n">
        <v>842</v>
      </c>
      <c r="D54" s="68" t="n">
        <v>767</v>
      </c>
      <c r="E54" s="68" t="n">
        <v>75</v>
      </c>
      <c r="F54" s="69" t="n">
        <v>0.911</v>
      </c>
      <c r="G54" s="69" t="n">
        <v>0.089</v>
      </c>
    </row>
    <row r="55">
      <c r="A55" s="68" t="n">
        <v>2026</v>
      </c>
      <c r="B55" s="68" t="inlineStr">
        <is>
          <t>1 JIP</t>
        </is>
      </c>
      <c r="C55" s="68" t="n">
        <v>395</v>
      </c>
      <c r="D55" s="68" t="n">
        <v>366</v>
      </c>
      <c r="E55" s="68" t="n">
        <v>29</v>
      </c>
      <c r="F55" s="69" t="n">
        <v>0.927</v>
      </c>
      <c r="G55" s="69" t="n">
        <v>0.073</v>
      </c>
    </row>
    <row r="56">
      <c r="A56" s="68" t="n">
        <v>2026</v>
      </c>
      <c r="B56" s="68" t="inlineStr">
        <is>
          <t>2 JIP</t>
        </is>
      </c>
      <c r="C56" s="68" t="n">
        <v>426</v>
      </c>
      <c r="D56" s="68" t="n">
        <v>395</v>
      </c>
      <c r="E56" s="68" t="n">
        <v>31</v>
      </c>
      <c r="F56" s="69" t="n">
        <v>0.927</v>
      </c>
      <c r="G56" s="69" t="n">
        <v>0.073</v>
      </c>
    </row>
    <row r="57">
      <c r="A57" s="68" t="n">
        <v>2026</v>
      </c>
      <c r="B57" s="68" t="inlineStr">
        <is>
          <t>3 JIP</t>
        </is>
      </c>
      <c r="C57" s="68" t="n">
        <v>380</v>
      </c>
      <c r="D57" s="68" t="n">
        <v>341</v>
      </c>
      <c r="E57" s="68" t="n">
        <v>39</v>
      </c>
      <c r="F57" s="69" t="n">
        <v>0.897</v>
      </c>
      <c r="G57" s="69" t="n">
        <v>0.103</v>
      </c>
      <c r="P57" s="70" t="n"/>
    </row>
    <row r="58">
      <c r="A58" s="68" t="n">
        <v>2026</v>
      </c>
      <c r="B58" s="68" t="inlineStr">
        <is>
          <t>1 JUP</t>
        </is>
      </c>
      <c r="C58" s="68" t="n">
        <v>349</v>
      </c>
      <c r="D58" s="68" t="n">
        <v>330</v>
      </c>
      <c r="E58" s="68" t="n">
        <v>19</v>
      </c>
      <c r="F58" s="69" t="n">
        <v>0.946</v>
      </c>
      <c r="G58" s="69" t="n">
        <v>0.054</v>
      </c>
    </row>
    <row r="59">
      <c r="A59" s="68" t="n">
        <v>2026</v>
      </c>
      <c r="B59" s="68" t="inlineStr">
        <is>
          <t>2 JUP</t>
        </is>
      </c>
      <c r="C59" s="68" t="n">
        <v>308</v>
      </c>
      <c r="D59" s="68" t="n">
        <v>278</v>
      </c>
      <c r="E59" s="68" t="n">
        <v>30</v>
      </c>
      <c r="F59" s="69" t="n">
        <v>0.903</v>
      </c>
      <c r="G59" s="69" t="n">
        <v>0.097</v>
      </c>
    </row>
    <row r="60">
      <c r="A60" s="68" t="n">
        <v>2026</v>
      </c>
      <c r="B60" s="68" t="inlineStr">
        <is>
          <t>3 JUP</t>
        </is>
      </c>
      <c r="C60" s="68" t="n">
        <v>271</v>
      </c>
      <c r="D60" s="68" t="n">
        <v>254</v>
      </c>
      <c r="E60" s="68" t="n">
        <v>17</v>
      </c>
      <c r="F60" s="69" t="n">
        <v>0.9370000000000001</v>
      </c>
      <c r="G60" s="69" t="n">
        <v>0.063</v>
      </c>
    </row>
    <row r="61">
      <c r="A61" s="68" t="n">
        <v>2026</v>
      </c>
      <c r="B61" s="68" t="inlineStr">
        <is>
          <t>JPCC</t>
        </is>
      </c>
      <c r="C61" s="68" t="n">
        <v>413</v>
      </c>
      <c r="D61" s="68" t="n">
        <v>383</v>
      </c>
      <c r="E61" s="68" t="n">
        <v>30</v>
      </c>
      <c r="F61" s="69" t="n">
        <v>0.927</v>
      </c>
      <c r="G61" s="69" t="n">
        <v>0.073</v>
      </c>
    </row>
    <row r="62">
      <c r="A62" s="68" t="n">
        <v>2026</v>
      </c>
      <c r="B62" s="68" t="inlineStr">
        <is>
          <t>1 JPCT</t>
        </is>
      </c>
      <c r="C62" s="68" t="n">
        <v>326</v>
      </c>
      <c r="D62" s="68" t="n">
        <v>317</v>
      </c>
      <c r="E62" s="68" t="n">
        <v>9</v>
      </c>
      <c r="F62" s="69" t="n">
        <v>0.972</v>
      </c>
      <c r="G62" s="69" t="n">
        <v>0.028</v>
      </c>
    </row>
    <row r="63">
      <c r="A63" s="68" t="n">
        <v>2026</v>
      </c>
      <c r="B63" s="68" t="inlineStr">
        <is>
          <t>2 JPCT</t>
        </is>
      </c>
      <c r="C63" s="68" t="n">
        <v>326</v>
      </c>
      <c r="D63" s="68" t="n">
        <v>298</v>
      </c>
      <c r="E63" s="68" t="n">
        <v>28</v>
      </c>
      <c r="F63" s="69" t="n">
        <v>0.914</v>
      </c>
      <c r="G63" s="69" t="n">
        <v>0.08599999999999999</v>
      </c>
    </row>
    <row r="64"/>
    <row r="65">
      <c r="A65" s="94" t="inlineStr">
        <is>
          <t>POBLACIÓN PROYECTADA 2026 POR PROVINCIA</t>
        </is>
      </c>
      <c r="B65" s="101" t="n"/>
      <c r="C65" s="101" t="n"/>
      <c r="D65" s="101" t="n"/>
      <c r="E65" s="101" t="n"/>
      <c r="F65" s="101" t="n"/>
    </row>
    <row r="66">
      <c r="A66" s="51" t="inlineStr">
        <is>
          <t>PROVINCIA</t>
        </is>
      </c>
      <c r="B66" s="51" t="inlineStr">
        <is>
          <t>VARONES</t>
        </is>
      </c>
      <c r="C66" s="51" t="inlineStr">
        <is>
          <t>MUJERES</t>
        </is>
      </c>
      <c r="D66" s="51" t="inlineStr">
        <is>
          <t>TOTAL</t>
        </is>
      </c>
      <c r="E66" s="51" t="inlineStr">
        <is>
          <t>% MUJERES</t>
        </is>
      </c>
      <c r="F66" s="51" t="inlineStr">
        <is>
          <t>TASA CREC.</t>
        </is>
      </c>
    </row>
    <row r="67">
      <c r="A67" s="52" t="inlineStr">
        <is>
          <t>Junín (región)</t>
        </is>
      </c>
      <c r="B67" s="6" t="n">
        <v>432453</v>
      </c>
      <c r="C67" s="6" t="n">
        <v>471549</v>
      </c>
      <c r="D67" s="6" t="n">
        <v>904002</v>
      </c>
      <c r="E67" s="63">
        <f>IF(D67&gt;0,C67/D67,"")</f>
        <v/>
      </c>
      <c r="F67" s="8" t="n">
        <v>0.002</v>
      </c>
    </row>
    <row r="68">
      <c r="A68" s="53" t="inlineStr">
        <is>
          <t>Huancayo</t>
        </is>
      </c>
      <c r="B68" s="6" t="n">
        <v>261358</v>
      </c>
      <c r="C68" s="6" t="n">
        <v>292490</v>
      </c>
      <c r="D68" s="6" t="n">
        <v>553848</v>
      </c>
      <c r="E68" s="63">
        <f>IF(D68&gt;0,C68/D68,"")</f>
        <v/>
      </c>
      <c r="F68" s="8" t="n">
        <v>0.002</v>
      </c>
    </row>
    <row r="69">
      <c r="A69" s="54" t="inlineStr">
        <is>
          <t>Concepción</t>
        </is>
      </c>
      <c r="B69" s="6" t="n">
        <v>26822</v>
      </c>
      <c r="C69" s="6" t="n">
        <v>29608</v>
      </c>
      <c r="D69" s="6" t="n">
        <v>56430</v>
      </c>
      <c r="E69" s="63">
        <f>IF(D69&gt;0,C69/D69,"")</f>
        <v/>
      </c>
      <c r="F69" s="8" t="n">
        <v>0.002</v>
      </c>
    </row>
    <row r="70">
      <c r="A70" s="55" t="inlineStr">
        <is>
          <t>Jauja</t>
        </is>
      </c>
      <c r="B70" s="6" t="n">
        <v>40270</v>
      </c>
      <c r="C70" s="6" t="n">
        <v>44244</v>
      </c>
      <c r="D70" s="6" t="n">
        <v>84514</v>
      </c>
      <c r="E70" s="63">
        <f>IF(D70&gt;0,C70/D70,"")</f>
        <v/>
      </c>
      <c r="F70" s="8" t="n">
        <v>0.002</v>
      </c>
    </row>
    <row r="71">
      <c r="A71" s="56" t="inlineStr">
        <is>
          <t>Junín (prov.)</t>
        </is>
      </c>
      <c r="B71" s="6" t="n">
        <v>11227</v>
      </c>
      <c r="C71" s="6" t="n">
        <v>12255</v>
      </c>
      <c r="D71" s="6" t="n">
        <v>23482</v>
      </c>
      <c r="E71" s="63">
        <f>IF(D71&gt;0,C71/D71,"")</f>
        <v/>
      </c>
      <c r="F71" s="8" t="n">
        <v>0.002</v>
      </c>
    </row>
    <row r="72">
      <c r="A72" s="57" t="inlineStr">
        <is>
          <t>Tarma</t>
        </is>
      </c>
      <c r="B72" s="6" t="n">
        <v>43851</v>
      </c>
      <c r="C72" s="6" t="n">
        <v>47091</v>
      </c>
      <c r="D72" s="6" t="n">
        <v>90942</v>
      </c>
      <c r="E72" s="63">
        <f>IF(D72&gt;0,C72/D72,"")</f>
        <v/>
      </c>
      <c r="F72" s="8" t="n">
        <v>0.002</v>
      </c>
    </row>
    <row r="73">
      <c r="A73" s="58" t="inlineStr">
        <is>
          <t>Yauli</t>
        </is>
      </c>
      <c r="B73" s="6" t="n">
        <v>22611</v>
      </c>
      <c r="C73" s="6" t="n">
        <v>18388</v>
      </c>
      <c r="D73" s="6" t="n">
        <v>40999</v>
      </c>
      <c r="E73" s="63">
        <f>IF(D73&gt;0,C73/D73,"")</f>
        <v/>
      </c>
      <c r="F73" s="8" t="n">
        <v>0.002</v>
      </c>
    </row>
    <row r="74">
      <c r="A74" s="59" t="inlineStr">
        <is>
          <t>Chupaca</t>
        </is>
      </c>
      <c r="B74" s="6" t="n">
        <v>26314</v>
      </c>
      <c r="C74" s="6" t="n">
        <v>27473</v>
      </c>
      <c r="D74" s="6" t="n">
        <v>53787</v>
      </c>
      <c r="E74" s="63">
        <f>IF(D74&gt;0,C74/D74,"")</f>
        <v/>
      </c>
      <c r="F74" s="8" t="n">
        <v>0.002</v>
      </c>
    </row>
    <row r="75">
      <c r="A75" s="64" t="inlineStr">
        <is>
          <t>Tayacaja</t>
        </is>
      </c>
      <c r="B75" s="6" t="n">
        <v>31347</v>
      </c>
      <c r="C75" s="6" t="n">
        <v>32571</v>
      </c>
      <c r="D75" s="6" t="n">
        <v>63918</v>
      </c>
      <c r="E75" s="63">
        <f>IF(D75&gt;0,C75/D75,"")</f>
        <v/>
      </c>
      <c r="F75" s="18" t="n">
        <v>-0.027</v>
      </c>
    </row>
    <row r="77">
      <c r="A77" s="95" t="inlineStr">
        <is>
          <t>Fuente: INEI (proyecciones poblacionales) y CSJJ (audiencias)</t>
        </is>
      </c>
    </row>
  </sheetData>
  <mergeCells count="4">
    <mergeCell ref="A3:F3"/>
    <mergeCell ref="A77:F77"/>
    <mergeCell ref="A1:F1"/>
    <mergeCell ref="A65:F65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 codeName="Hoja9">
    <tabColor theme="7"/>
    <outlinePr summaryBelow="1" summaryRight="1"/>
    <pageSetUpPr/>
  </sheetPr>
  <dimension ref="A1:G81"/>
  <sheetViews>
    <sheetView topLeftCell="A40" zoomScaleNormal="100" workbookViewId="0">
      <selection activeCell="A52" sqref="A52:A61"/>
    </sheetView>
  </sheetViews>
  <sheetFormatPr baseColWidth="10" defaultColWidth="8.7109375" defaultRowHeight="15"/>
  <cols>
    <col width="18" customWidth="1" style="2" min="1" max="1"/>
    <col width="12" customWidth="1" style="2" min="2" max="2"/>
    <col width="14" customWidth="1" style="2" min="3" max="3"/>
    <col width="15.28515625" bestFit="1" customWidth="1" style="2" min="4" max="4"/>
    <col width="14" customWidth="1" style="2" min="5" max="6"/>
    <col width="16" customWidth="1" style="2" min="7" max="7"/>
    <col width="8.7109375" customWidth="1" style="2" min="8" max="16384"/>
  </cols>
  <sheetData>
    <row r="1" ht="25.5" customHeight="1">
      <c r="A1" s="47" t="inlineStr">
        <is>
          <t>SEDE</t>
        </is>
      </c>
      <c r="B1" s="47" t="inlineStr">
        <is>
          <t>AÑO</t>
        </is>
      </c>
      <c r="C1" s="47" t="inlineStr">
        <is>
          <t>TIPO_AÑO</t>
        </is>
      </c>
      <c r="D1" s="47" t="inlineStr">
        <is>
          <t>PROGRAMADAS</t>
        </is>
      </c>
      <c r="E1" s="47" t="inlineStr">
        <is>
          <t>ATENDIDAS</t>
        </is>
      </c>
      <c r="F1" s="47" t="inlineStr">
        <is>
          <t>SUSPENDIDAS</t>
        </is>
      </c>
      <c r="G1" s="47" t="inlineStr">
        <is>
          <t>TASA_ATENCION</t>
        </is>
      </c>
    </row>
    <row r="2">
      <c r="A2" s="4" t="inlineStr">
        <is>
          <t>Huancayo</t>
        </is>
      </c>
      <c r="B2" s="5" t="inlineStr">
        <is>
          <t>2017</t>
        </is>
      </c>
      <c r="C2" s="5" t="inlineStr">
        <is>
          <t>Anual</t>
        </is>
      </c>
      <c r="D2" s="5" t="n">
        <v>16159</v>
      </c>
      <c r="E2" s="5" t="n">
        <v>14326</v>
      </c>
      <c r="F2" s="5" t="n">
        <v>4470</v>
      </c>
      <c r="G2" s="7">
        <f>IF(D2&gt;0,E2/D2,"")</f>
        <v/>
      </c>
    </row>
    <row r="3">
      <c r="A3" s="4" t="inlineStr">
        <is>
          <t>Huancayo</t>
        </is>
      </c>
      <c r="B3" s="5" t="inlineStr">
        <is>
          <t>2018</t>
        </is>
      </c>
      <c r="C3" s="5" t="inlineStr">
        <is>
          <t>Anual</t>
        </is>
      </c>
      <c r="D3" s="5" t="n">
        <v>19221</v>
      </c>
      <c r="E3" s="5" t="n">
        <v>18989</v>
      </c>
      <c r="F3" s="5" t="n">
        <v>2517</v>
      </c>
      <c r="G3" s="7">
        <f>IF(D3&gt;0,E3/D3,"")</f>
        <v/>
      </c>
    </row>
    <row r="4">
      <c r="A4" s="4" t="inlineStr">
        <is>
          <t>Huancayo</t>
        </is>
      </c>
      <c r="B4" s="5" t="inlineStr">
        <is>
          <t>2019</t>
        </is>
      </c>
      <c r="C4" s="5" t="inlineStr">
        <is>
          <t>Anual</t>
        </is>
      </c>
      <c r="D4" s="5" t="n">
        <v>24303</v>
      </c>
      <c r="E4" s="5" t="n">
        <v>23560</v>
      </c>
      <c r="F4" s="5" t="n">
        <v>80</v>
      </c>
      <c r="G4" s="7">
        <f>IF(D4&gt;0,E4/D4,"")</f>
        <v/>
      </c>
    </row>
    <row r="5">
      <c r="A5" s="4" t="inlineStr">
        <is>
          <t>Huancayo</t>
        </is>
      </c>
      <c r="B5" s="5" t="inlineStr">
        <is>
          <t>2020</t>
        </is>
      </c>
      <c r="C5" s="5" t="inlineStr">
        <is>
          <t>Anual</t>
        </is>
      </c>
      <c r="D5" s="5" t="n">
        <v>15554</v>
      </c>
      <c r="E5" s="5" t="n">
        <v>11704</v>
      </c>
      <c r="F5" s="5" t="n">
        <v>229</v>
      </c>
      <c r="G5" s="7">
        <f>IF(D5&gt;0,E5/D5,"")</f>
        <v/>
      </c>
    </row>
    <row r="6">
      <c r="A6" s="4" t="inlineStr">
        <is>
          <t>Huancayo</t>
        </is>
      </c>
      <c r="B6" s="5" t="inlineStr">
        <is>
          <t>2021</t>
        </is>
      </c>
      <c r="C6" s="5" t="inlineStr">
        <is>
          <t>Anual</t>
        </is>
      </c>
      <c r="D6" s="5" t="n">
        <v>26914</v>
      </c>
      <c r="E6" s="5" t="n">
        <v>26464</v>
      </c>
      <c r="F6" s="5" t="n">
        <v>84</v>
      </c>
      <c r="G6" s="7">
        <f>IF(D6&gt;0,E6/D6,"")</f>
        <v/>
      </c>
    </row>
    <row r="7">
      <c r="A7" s="4" t="inlineStr">
        <is>
          <t>Huancayo</t>
        </is>
      </c>
      <c r="B7" s="5" t="inlineStr">
        <is>
          <t>2022</t>
        </is>
      </c>
      <c r="C7" s="5" t="inlineStr">
        <is>
          <t>Anual</t>
        </is>
      </c>
      <c r="D7" s="5" t="n">
        <v>30497</v>
      </c>
      <c r="E7" s="5" t="n">
        <v>30280</v>
      </c>
      <c r="F7" s="5" t="n">
        <v>25</v>
      </c>
      <c r="G7" s="7">
        <f>IF(D7&gt;0,E7/D7,"")</f>
        <v/>
      </c>
    </row>
    <row r="8">
      <c r="A8" s="4" t="inlineStr">
        <is>
          <t>Huancayo</t>
        </is>
      </c>
      <c r="B8" s="5" t="inlineStr">
        <is>
          <t>2023</t>
        </is>
      </c>
      <c r="C8" s="5" t="inlineStr">
        <is>
          <t>Anual</t>
        </is>
      </c>
      <c r="D8" s="5" t="n">
        <v>34272</v>
      </c>
      <c r="E8" s="5" t="n">
        <v>33822</v>
      </c>
      <c r="F8" s="5" t="n">
        <v>28</v>
      </c>
      <c r="G8" s="7">
        <f>IF(D8&gt;0,E8/D8,"")</f>
        <v/>
      </c>
    </row>
    <row r="9">
      <c r="A9" s="4" t="inlineStr">
        <is>
          <t>Huancayo</t>
        </is>
      </c>
      <c r="B9" s="5" t="inlineStr">
        <is>
          <t>2024</t>
        </is>
      </c>
      <c r="C9" s="5" t="inlineStr">
        <is>
          <t>Anual</t>
        </is>
      </c>
      <c r="D9" s="5" t="n">
        <v>33940</v>
      </c>
      <c r="E9" s="5" t="n">
        <v>33513</v>
      </c>
      <c r="F9" s="5" t="n">
        <v>31</v>
      </c>
      <c r="G9" s="7">
        <f>IF(D9&gt;0,E9/D9,"")</f>
        <v/>
      </c>
    </row>
    <row r="10">
      <c r="A10" s="4" t="inlineStr">
        <is>
          <t>Huancayo</t>
        </is>
      </c>
      <c r="B10" s="5" t="inlineStr">
        <is>
          <t>2025</t>
        </is>
      </c>
      <c r="C10" s="5" t="inlineStr">
        <is>
          <t>Anual</t>
        </is>
      </c>
      <c r="D10" s="5" t="n">
        <v>40546</v>
      </c>
      <c r="E10" s="5" t="n">
        <v>40027</v>
      </c>
      <c r="F10" s="5" t="n">
        <v>43</v>
      </c>
      <c r="G10" s="7">
        <f>IF(D10&gt;0,E10/D10,"")</f>
        <v/>
      </c>
    </row>
    <row r="11">
      <c r="A11" s="4" t="inlineStr">
        <is>
          <t>Huancayo</t>
        </is>
      </c>
      <c r="B11" s="5" t="inlineStr">
        <is>
          <t>2026-Mar</t>
        </is>
      </c>
      <c r="C11" s="5" t="inlineStr">
        <is>
          <t>Parcial</t>
        </is>
      </c>
      <c r="D11" s="5" t="n">
        <v>8945</v>
      </c>
      <c r="E11" s="5" t="n">
        <v>8904</v>
      </c>
      <c r="F11" s="5" t="n">
        <v>8</v>
      </c>
      <c r="G11" s="7">
        <f>IF(D11&gt;0,E11/D11,"")</f>
        <v/>
      </c>
    </row>
    <row r="12">
      <c r="A12" s="10" t="inlineStr">
        <is>
          <t>Tarma</t>
        </is>
      </c>
      <c r="B12" s="5" t="inlineStr">
        <is>
          <t>2017</t>
        </is>
      </c>
      <c r="C12" s="5" t="inlineStr">
        <is>
          <t>Anual</t>
        </is>
      </c>
      <c r="D12" s="5" t="n">
        <v>2802</v>
      </c>
      <c r="E12" s="5" t="n">
        <v>2742</v>
      </c>
      <c r="F12" s="5" t="n">
        <v>370</v>
      </c>
      <c r="G12" s="7">
        <f>IF(D12&gt;0,E12/D12,"")</f>
        <v/>
      </c>
    </row>
    <row r="13">
      <c r="A13" s="10" t="inlineStr">
        <is>
          <t>Tarma</t>
        </is>
      </c>
      <c r="B13" s="5" t="inlineStr">
        <is>
          <t>2018</t>
        </is>
      </c>
      <c r="C13" s="5" t="inlineStr">
        <is>
          <t>Anual</t>
        </is>
      </c>
      <c r="D13" s="5" t="n">
        <v>1831</v>
      </c>
      <c r="E13" s="5" t="n">
        <v>1787</v>
      </c>
      <c r="F13" s="5" t="n">
        <v>114</v>
      </c>
      <c r="G13" s="7">
        <f>IF(D13&gt;0,E13/D13,"")</f>
        <v/>
      </c>
    </row>
    <row r="14">
      <c r="A14" s="10" t="inlineStr">
        <is>
          <t>Tarma</t>
        </is>
      </c>
      <c r="B14" s="5" t="inlineStr">
        <is>
          <t>2019</t>
        </is>
      </c>
      <c r="C14" s="5" t="inlineStr">
        <is>
          <t>Anual</t>
        </is>
      </c>
      <c r="D14" s="5" t="n">
        <v>2531</v>
      </c>
      <c r="E14" s="5" t="n">
        <v>2434</v>
      </c>
      <c r="F14" s="5" t="n">
        <v>5</v>
      </c>
      <c r="G14" s="7">
        <f>IF(D14&gt;0,E14/D14,"")</f>
        <v/>
      </c>
    </row>
    <row r="15">
      <c r="A15" s="10" t="inlineStr">
        <is>
          <t>Tarma</t>
        </is>
      </c>
      <c r="B15" s="5" t="inlineStr">
        <is>
          <t>2020</t>
        </is>
      </c>
      <c r="C15" s="5" t="inlineStr">
        <is>
          <t>Anual</t>
        </is>
      </c>
      <c r="D15" s="5" t="n">
        <v>1640</v>
      </c>
      <c r="E15" s="5" t="n">
        <v>1322</v>
      </c>
      <c r="F15" s="5" t="n">
        <v>14</v>
      </c>
      <c r="G15" s="7">
        <f>IF(D15&gt;0,E15/D15,"")</f>
        <v/>
      </c>
    </row>
    <row r="16">
      <c r="A16" s="10" t="inlineStr">
        <is>
          <t>Tarma</t>
        </is>
      </c>
      <c r="B16" s="5" t="inlineStr">
        <is>
          <t>2021</t>
        </is>
      </c>
      <c r="C16" s="5" t="inlineStr">
        <is>
          <t>Anual</t>
        </is>
      </c>
      <c r="D16" s="5" t="n">
        <v>2905</v>
      </c>
      <c r="E16" s="5" t="n">
        <v>2858</v>
      </c>
      <c r="F16" s="5" t="n">
        <v>89</v>
      </c>
      <c r="G16" s="7">
        <f>IF(D16&gt;0,E16/D16,"")</f>
        <v/>
      </c>
    </row>
    <row r="17">
      <c r="A17" s="10" t="inlineStr">
        <is>
          <t>Tarma</t>
        </is>
      </c>
      <c r="B17" s="5" t="inlineStr">
        <is>
          <t>2022</t>
        </is>
      </c>
      <c r="C17" s="5" t="inlineStr">
        <is>
          <t>Anual</t>
        </is>
      </c>
      <c r="D17" s="5" t="n">
        <v>3590</v>
      </c>
      <c r="E17" s="5" t="n">
        <v>3526</v>
      </c>
      <c r="F17" s="5" t="n">
        <v>84</v>
      </c>
      <c r="G17" s="7">
        <f>IF(D17&gt;0,E17/D17,"")</f>
        <v/>
      </c>
    </row>
    <row r="18">
      <c r="A18" s="10" t="inlineStr">
        <is>
          <t>Tarma</t>
        </is>
      </c>
      <c r="B18" s="5" t="inlineStr">
        <is>
          <t>2023</t>
        </is>
      </c>
      <c r="C18" s="5" t="inlineStr">
        <is>
          <t>Anual</t>
        </is>
      </c>
      <c r="D18" s="5" t="n">
        <v>3610</v>
      </c>
      <c r="E18" s="5" t="n">
        <v>3575</v>
      </c>
      <c r="F18" s="5" t="n">
        <v>149</v>
      </c>
      <c r="G18" s="7">
        <f>IF(D18&gt;0,E18/D18,"")</f>
        <v/>
      </c>
    </row>
    <row r="19">
      <c r="A19" s="10" t="inlineStr">
        <is>
          <t>Tarma</t>
        </is>
      </c>
      <c r="B19" s="5" t="inlineStr">
        <is>
          <t>2024</t>
        </is>
      </c>
      <c r="C19" s="5" t="inlineStr">
        <is>
          <t>Anual</t>
        </is>
      </c>
      <c r="D19" s="5" t="n">
        <v>3386</v>
      </c>
      <c r="E19" s="5" t="n">
        <v>3374</v>
      </c>
      <c r="F19" s="5" t="n">
        <v>45</v>
      </c>
      <c r="G19" s="7">
        <f>IF(D19&gt;0,E19/D19,"")</f>
        <v/>
      </c>
    </row>
    <row r="20">
      <c r="A20" s="10" t="inlineStr">
        <is>
          <t>Tarma</t>
        </is>
      </c>
      <c r="B20" s="5" t="inlineStr">
        <is>
          <t>2025</t>
        </is>
      </c>
      <c r="C20" s="5" t="inlineStr">
        <is>
          <t>Anual</t>
        </is>
      </c>
      <c r="D20" s="5" t="n">
        <v>2895</v>
      </c>
      <c r="E20" s="5" t="n">
        <v>2824</v>
      </c>
      <c r="F20" s="5" t="n">
        <v>45</v>
      </c>
      <c r="G20" s="7">
        <f>IF(D20&gt;0,E20/D20,"")</f>
        <v/>
      </c>
    </row>
    <row r="21">
      <c r="A21" s="10" t="inlineStr">
        <is>
          <t>Tarma</t>
        </is>
      </c>
      <c r="B21" s="5" t="inlineStr">
        <is>
          <t>2026-Mar</t>
        </is>
      </c>
      <c r="C21" s="5" t="inlineStr">
        <is>
          <t>Parcial</t>
        </is>
      </c>
      <c r="D21" s="5" t="n">
        <v>506</v>
      </c>
      <c r="E21" s="5" t="n">
        <v>489</v>
      </c>
      <c r="F21" s="5" t="n">
        <v>9</v>
      </c>
      <c r="G21" s="7">
        <f>IF(D21&gt;0,E21/D21,"")</f>
        <v/>
      </c>
    </row>
    <row r="22">
      <c r="A22" s="11" t="inlineStr">
        <is>
          <t>Chupaca</t>
        </is>
      </c>
      <c r="B22" s="5" t="inlineStr">
        <is>
          <t>2017</t>
        </is>
      </c>
      <c r="C22" s="5" t="inlineStr">
        <is>
          <t>Anual</t>
        </is>
      </c>
      <c r="D22" s="5" t="n">
        <v>905</v>
      </c>
      <c r="E22" s="5" t="n">
        <v>905</v>
      </c>
      <c r="F22" s="5" t="n">
        <v>245</v>
      </c>
      <c r="G22" s="7">
        <f>IF(D22&gt;0,E22/D22,"")</f>
        <v/>
      </c>
    </row>
    <row r="23">
      <c r="A23" s="11" t="inlineStr">
        <is>
          <t>Chupaca</t>
        </is>
      </c>
      <c r="B23" s="5" t="inlineStr">
        <is>
          <t>2018</t>
        </is>
      </c>
      <c r="C23" s="5" t="inlineStr">
        <is>
          <t>Anual</t>
        </is>
      </c>
      <c r="D23" s="5" t="n">
        <v>1225</v>
      </c>
      <c r="E23" s="5" t="n">
        <v>1221</v>
      </c>
      <c r="F23" s="5" t="n">
        <v>453</v>
      </c>
      <c r="G23" s="7">
        <f>IF(D23&gt;0,E23/D23,"")</f>
        <v/>
      </c>
    </row>
    <row r="24">
      <c r="A24" s="11" t="inlineStr">
        <is>
          <t>Chupaca</t>
        </is>
      </c>
      <c r="B24" s="5" t="inlineStr">
        <is>
          <t>2019</t>
        </is>
      </c>
      <c r="C24" s="5" t="inlineStr">
        <is>
          <t>Anual</t>
        </is>
      </c>
      <c r="D24" s="5" t="n">
        <v>1535</v>
      </c>
      <c r="E24" s="5" t="n">
        <v>1528</v>
      </c>
      <c r="F24" s="5" t="n">
        <v>352</v>
      </c>
      <c r="G24" s="7">
        <f>IF(D24&gt;0,E24/D24,"")</f>
        <v/>
      </c>
    </row>
    <row r="25">
      <c r="A25" s="11" t="inlineStr">
        <is>
          <t>Chupaca</t>
        </is>
      </c>
      <c r="B25" s="5" t="inlineStr">
        <is>
          <t>2020</t>
        </is>
      </c>
      <c r="C25" s="5" t="inlineStr">
        <is>
          <t>Anual</t>
        </is>
      </c>
      <c r="D25" s="5" t="n">
        <v>932</v>
      </c>
      <c r="E25" s="5" t="n">
        <v>870</v>
      </c>
      <c r="F25" s="5" t="n">
        <v>118</v>
      </c>
      <c r="G25" s="7">
        <f>IF(D25&gt;0,E25/D25,"")</f>
        <v/>
      </c>
    </row>
    <row r="26">
      <c r="A26" s="11" t="inlineStr">
        <is>
          <t>Chupaca</t>
        </is>
      </c>
      <c r="B26" s="5" t="inlineStr">
        <is>
          <t>2021</t>
        </is>
      </c>
      <c r="C26" s="5" t="inlineStr">
        <is>
          <t>Anual</t>
        </is>
      </c>
      <c r="D26" s="5" t="n">
        <v>1347</v>
      </c>
      <c r="E26" s="5" t="n">
        <v>1344</v>
      </c>
      <c r="F26" s="5" t="n">
        <v>218</v>
      </c>
      <c r="G26" s="7">
        <f>IF(D26&gt;0,E26/D26,"")</f>
        <v/>
      </c>
    </row>
    <row r="27">
      <c r="A27" s="11" t="inlineStr">
        <is>
          <t>Chupaca</t>
        </is>
      </c>
      <c r="B27" s="5" t="inlineStr">
        <is>
          <t>2022</t>
        </is>
      </c>
      <c r="C27" s="5" t="inlineStr">
        <is>
          <t>Anual</t>
        </is>
      </c>
      <c r="D27" s="5" t="n">
        <v>1640</v>
      </c>
      <c r="E27" s="5" t="n">
        <v>1636</v>
      </c>
      <c r="F27" s="5" t="n">
        <v>230</v>
      </c>
      <c r="G27" s="7">
        <f>IF(D27&gt;0,E27/D27,"")</f>
        <v/>
      </c>
    </row>
    <row r="28">
      <c r="A28" s="11" t="inlineStr">
        <is>
          <t>Chupaca</t>
        </is>
      </c>
      <c r="B28" s="5" t="inlineStr">
        <is>
          <t>2023</t>
        </is>
      </c>
      <c r="C28" s="5" t="inlineStr">
        <is>
          <t>Anual</t>
        </is>
      </c>
      <c r="D28" s="5" t="n">
        <v>1813</v>
      </c>
      <c r="E28" s="5" t="n">
        <v>1806</v>
      </c>
      <c r="F28" s="5" t="n">
        <v>306</v>
      </c>
      <c r="G28" s="7">
        <f>IF(D28&gt;0,E28/D28,"")</f>
        <v/>
      </c>
    </row>
    <row r="29">
      <c r="A29" s="11" t="inlineStr">
        <is>
          <t>Chupaca</t>
        </is>
      </c>
      <c r="B29" s="5" t="inlineStr">
        <is>
          <t>2024</t>
        </is>
      </c>
      <c r="C29" s="5" t="inlineStr">
        <is>
          <t>Anual</t>
        </is>
      </c>
      <c r="D29" s="5" t="n">
        <v>2228</v>
      </c>
      <c r="E29" s="5" t="n">
        <v>2219</v>
      </c>
      <c r="F29" s="5" t="n">
        <v>309</v>
      </c>
      <c r="G29" s="7">
        <f>IF(D29&gt;0,E29/D29,"")</f>
        <v/>
      </c>
    </row>
    <row r="30">
      <c r="A30" s="11" t="inlineStr">
        <is>
          <t>Chupaca</t>
        </is>
      </c>
      <c r="B30" s="5" t="inlineStr">
        <is>
          <t>2025</t>
        </is>
      </c>
      <c r="C30" s="5" t="inlineStr">
        <is>
          <t>Anual</t>
        </is>
      </c>
      <c r="D30" s="5" t="n">
        <v>2904</v>
      </c>
      <c r="E30" s="5" t="n">
        <v>2883</v>
      </c>
      <c r="F30" s="5" t="n">
        <v>491</v>
      </c>
      <c r="G30" s="7">
        <f>IF(D30&gt;0,E30/D30,"")</f>
        <v/>
      </c>
    </row>
    <row r="31">
      <c r="A31" s="11" t="inlineStr">
        <is>
          <t>Chupaca</t>
        </is>
      </c>
      <c r="B31" s="5" t="inlineStr">
        <is>
          <t>2026-Mar</t>
        </is>
      </c>
      <c r="C31" s="5" t="inlineStr">
        <is>
          <t>Parcial</t>
        </is>
      </c>
      <c r="D31" s="5" t="n">
        <v>646</v>
      </c>
      <c r="E31" s="5" t="n">
        <v>646</v>
      </c>
      <c r="F31" s="5" t="n">
        <v>124</v>
      </c>
      <c r="G31" s="7">
        <f>IF(D31&gt;0,E31/D31,"")</f>
        <v/>
      </c>
    </row>
    <row r="32">
      <c r="A32" s="12" t="inlineStr">
        <is>
          <t>Pampas</t>
        </is>
      </c>
      <c r="B32" s="5" t="inlineStr">
        <is>
          <t>2017</t>
        </is>
      </c>
      <c r="C32" s="5" t="inlineStr">
        <is>
          <t>Anual</t>
        </is>
      </c>
      <c r="D32" s="5" t="n"/>
      <c r="E32" s="5" t="n"/>
      <c r="F32" s="5" t="n"/>
      <c r="G32" s="65" t="n"/>
    </row>
    <row r="33">
      <c r="A33" s="12" t="inlineStr">
        <is>
          <t>Pampas</t>
        </is>
      </c>
      <c r="B33" s="5" t="inlineStr">
        <is>
          <t>2018</t>
        </is>
      </c>
      <c r="C33" s="5" t="inlineStr">
        <is>
          <t>Anual</t>
        </is>
      </c>
      <c r="D33" s="5" t="n"/>
      <c r="E33" s="5" t="n"/>
      <c r="F33" s="5" t="n"/>
      <c r="G33" s="65" t="n"/>
    </row>
    <row r="34">
      <c r="A34" s="12" t="inlineStr">
        <is>
          <t>Pampas</t>
        </is>
      </c>
      <c r="B34" s="5" t="inlineStr">
        <is>
          <t>2019</t>
        </is>
      </c>
      <c r="C34" s="5" t="inlineStr">
        <is>
          <t>Anual</t>
        </is>
      </c>
      <c r="D34" s="5" t="n"/>
      <c r="E34" s="5" t="n"/>
      <c r="F34" s="5" t="n"/>
      <c r="G34" s="65" t="n"/>
    </row>
    <row r="35">
      <c r="A35" s="12" t="inlineStr">
        <is>
          <t>Pampas</t>
        </is>
      </c>
      <c r="B35" s="5" t="inlineStr">
        <is>
          <t>2020</t>
        </is>
      </c>
      <c r="C35" s="5" t="inlineStr">
        <is>
          <t>Anual</t>
        </is>
      </c>
      <c r="D35" s="5" t="n"/>
      <c r="E35" s="5" t="n"/>
      <c r="F35" s="5" t="n"/>
      <c r="G35" s="65" t="n"/>
    </row>
    <row r="36">
      <c r="A36" s="12" t="inlineStr">
        <is>
          <t>Pampas</t>
        </is>
      </c>
      <c r="B36" s="5" t="inlineStr">
        <is>
          <t>2021</t>
        </is>
      </c>
      <c r="C36" s="5" t="inlineStr">
        <is>
          <t>Anual</t>
        </is>
      </c>
      <c r="D36" s="5" t="n">
        <v>1774</v>
      </c>
      <c r="E36" s="5" t="n">
        <v>1758</v>
      </c>
      <c r="F36" s="5" t="n">
        <v>179</v>
      </c>
      <c r="G36" s="7">
        <f>IF(D36&gt;0,E36/D36,"")</f>
        <v/>
      </c>
    </row>
    <row r="37">
      <c r="A37" s="12" t="inlineStr">
        <is>
          <t>Pampas</t>
        </is>
      </c>
      <c r="B37" s="5" t="inlineStr">
        <is>
          <t>2022</t>
        </is>
      </c>
      <c r="C37" s="5" t="inlineStr">
        <is>
          <t>Anual</t>
        </is>
      </c>
      <c r="D37" s="5" t="n">
        <v>1988</v>
      </c>
      <c r="E37" s="5" t="n">
        <v>1981</v>
      </c>
      <c r="F37" s="5" t="n">
        <v>19</v>
      </c>
      <c r="G37" s="7">
        <f>IF(D37&gt;0,E37/D37,"")</f>
        <v/>
      </c>
    </row>
    <row r="38">
      <c r="A38" s="12" t="inlineStr">
        <is>
          <t>Pampas</t>
        </is>
      </c>
      <c r="B38" s="5" t="inlineStr">
        <is>
          <t>2023</t>
        </is>
      </c>
      <c r="C38" s="5" t="inlineStr">
        <is>
          <t>Anual</t>
        </is>
      </c>
      <c r="D38" s="5" t="n">
        <v>2030</v>
      </c>
      <c r="E38" s="5" t="n">
        <v>2029</v>
      </c>
      <c r="F38" s="5" t="n">
        <v>24</v>
      </c>
      <c r="G38" s="7">
        <f>IF(D38&gt;0,E38/D38,"")</f>
        <v/>
      </c>
    </row>
    <row r="39">
      <c r="A39" s="12" t="inlineStr">
        <is>
          <t>Pampas</t>
        </is>
      </c>
      <c r="B39" s="5" t="inlineStr">
        <is>
          <t>2024</t>
        </is>
      </c>
      <c r="C39" s="5" t="inlineStr">
        <is>
          <t>Anual</t>
        </is>
      </c>
      <c r="D39" s="5" t="n">
        <v>2505</v>
      </c>
      <c r="E39" s="5" t="n">
        <v>2497</v>
      </c>
      <c r="F39" s="5" t="n">
        <v>162</v>
      </c>
      <c r="G39" s="7">
        <f>IF(D39&gt;0,E39/D39,"")</f>
        <v/>
      </c>
    </row>
    <row r="40">
      <c r="A40" s="12" t="inlineStr">
        <is>
          <t>Pampas</t>
        </is>
      </c>
      <c r="B40" s="5" t="inlineStr">
        <is>
          <t>2025</t>
        </is>
      </c>
      <c r="C40" s="5" t="inlineStr">
        <is>
          <t>Anual</t>
        </is>
      </c>
      <c r="D40" s="5" t="n">
        <v>2424</v>
      </c>
      <c r="E40" s="5" t="n">
        <v>2421</v>
      </c>
      <c r="F40" s="5" t="n">
        <v>63</v>
      </c>
      <c r="G40" s="7">
        <f>IF(D40&gt;0,E40/D40,"")</f>
        <v/>
      </c>
    </row>
    <row r="41">
      <c r="A41" s="12" t="inlineStr">
        <is>
          <t>Pampas</t>
        </is>
      </c>
      <c r="B41" s="5" t="inlineStr">
        <is>
          <t>2026-Mar</t>
        </is>
      </c>
      <c r="C41" s="5" t="inlineStr">
        <is>
          <t>Parcial</t>
        </is>
      </c>
      <c r="D41" s="5" t="n">
        <v>413</v>
      </c>
      <c r="E41" s="5" t="n">
        <v>413</v>
      </c>
      <c r="F41" s="5" t="n">
        <v>10</v>
      </c>
      <c r="G41" s="7">
        <f>IF(D41&gt;0,E41/D41,"")</f>
        <v/>
      </c>
    </row>
    <row r="42">
      <c r="A42" s="13" t="inlineStr">
        <is>
          <t>Jauja</t>
        </is>
      </c>
      <c r="B42" s="5" t="inlineStr">
        <is>
          <t>2017</t>
        </is>
      </c>
      <c r="C42" s="5" t="inlineStr">
        <is>
          <t>Anual</t>
        </is>
      </c>
      <c r="D42" s="5" t="n"/>
      <c r="E42" s="5" t="n"/>
      <c r="F42" s="5" t="n"/>
      <c r="G42" s="65" t="n"/>
    </row>
    <row r="43">
      <c r="A43" s="13" t="inlineStr">
        <is>
          <t>Jauja</t>
        </is>
      </c>
      <c r="B43" s="5" t="inlineStr">
        <is>
          <t>2018</t>
        </is>
      </c>
      <c r="C43" s="5" t="inlineStr">
        <is>
          <t>Anual</t>
        </is>
      </c>
      <c r="D43" s="5" t="n"/>
      <c r="E43" s="5" t="n"/>
      <c r="F43" s="5" t="n"/>
      <c r="G43" s="65" t="n"/>
    </row>
    <row r="44">
      <c r="A44" s="13" t="inlineStr">
        <is>
          <t>Jauja</t>
        </is>
      </c>
      <c r="B44" s="5" t="inlineStr">
        <is>
          <t>2019</t>
        </is>
      </c>
      <c r="C44" s="5" t="inlineStr">
        <is>
          <t>Anual</t>
        </is>
      </c>
      <c r="D44" s="5" t="n"/>
      <c r="E44" s="5" t="n"/>
      <c r="F44" s="5" t="n"/>
      <c r="G44" s="65" t="n"/>
    </row>
    <row r="45">
      <c r="A45" s="13" t="inlineStr">
        <is>
          <t>Jauja</t>
        </is>
      </c>
      <c r="B45" s="5" t="inlineStr">
        <is>
          <t>2020</t>
        </is>
      </c>
      <c r="C45" s="5" t="inlineStr">
        <is>
          <t>Anual</t>
        </is>
      </c>
      <c r="D45" s="5" t="n">
        <v>565</v>
      </c>
      <c r="E45" s="5" t="n">
        <v>554</v>
      </c>
      <c r="F45" s="5" t="n">
        <v>39</v>
      </c>
      <c r="G45" s="7">
        <f>IF(D45&gt;0,E45/D45,"")</f>
        <v/>
      </c>
    </row>
    <row r="46">
      <c r="A46" s="13" t="inlineStr">
        <is>
          <t>Jauja</t>
        </is>
      </c>
      <c r="B46" s="5" t="inlineStr">
        <is>
          <t>2021</t>
        </is>
      </c>
      <c r="C46" s="5" t="inlineStr">
        <is>
          <t>Anual</t>
        </is>
      </c>
      <c r="D46" s="5" t="n">
        <v>2522</v>
      </c>
      <c r="E46" s="5" t="n">
        <v>2502</v>
      </c>
      <c r="F46" s="5" t="n">
        <v>108</v>
      </c>
      <c r="G46" s="7">
        <f>IF(D46&gt;0,E46/D46,"")</f>
        <v/>
      </c>
    </row>
    <row r="47">
      <c r="A47" s="13" t="inlineStr">
        <is>
          <t>Jauja</t>
        </is>
      </c>
      <c r="B47" s="5" t="inlineStr">
        <is>
          <t>2022</t>
        </is>
      </c>
      <c r="C47" s="5" t="inlineStr">
        <is>
          <t>Anual</t>
        </is>
      </c>
      <c r="D47" s="5" t="n">
        <v>3220</v>
      </c>
      <c r="E47" s="5" t="n">
        <v>3171</v>
      </c>
      <c r="F47" s="5" t="n">
        <v>173</v>
      </c>
      <c r="G47" s="7">
        <f>IF(D47&gt;0,E47/D47,"")</f>
        <v/>
      </c>
    </row>
    <row r="48">
      <c r="A48" s="13" t="inlineStr">
        <is>
          <t>Jauja</t>
        </is>
      </c>
      <c r="B48" s="5" t="inlineStr">
        <is>
          <t>2023</t>
        </is>
      </c>
      <c r="C48" s="5" t="inlineStr">
        <is>
          <t>Anual</t>
        </is>
      </c>
      <c r="D48" s="5" t="n">
        <v>4073</v>
      </c>
      <c r="E48" s="5" t="n">
        <v>4033</v>
      </c>
      <c r="F48" s="5" t="n">
        <v>53</v>
      </c>
      <c r="G48" s="7">
        <f>IF(D48&gt;0,E48/D48,"")</f>
        <v/>
      </c>
    </row>
    <row r="49">
      <c r="A49" s="13" t="inlineStr">
        <is>
          <t>Jauja</t>
        </is>
      </c>
      <c r="B49" s="5" t="inlineStr">
        <is>
          <t>2024</t>
        </is>
      </c>
      <c r="C49" s="5" t="inlineStr">
        <is>
          <t>Anual</t>
        </is>
      </c>
      <c r="D49" s="5" t="n">
        <v>5763</v>
      </c>
      <c r="E49" s="5" t="n">
        <v>5750</v>
      </c>
      <c r="F49" s="5" t="n">
        <v>59</v>
      </c>
      <c r="G49" s="7">
        <f>IF(D49&gt;0,E49/D49,"")</f>
        <v/>
      </c>
    </row>
    <row r="50">
      <c r="A50" s="13" t="inlineStr">
        <is>
          <t>Jauja</t>
        </is>
      </c>
      <c r="B50" s="5" t="inlineStr">
        <is>
          <t>2025</t>
        </is>
      </c>
      <c r="C50" s="5" t="inlineStr">
        <is>
          <t>Anual</t>
        </is>
      </c>
      <c r="D50" s="5" t="n">
        <v>6702</v>
      </c>
      <c r="E50" s="5" t="n">
        <v>6677</v>
      </c>
      <c r="F50" s="5" t="n">
        <v>263</v>
      </c>
      <c r="G50" s="7">
        <f>IF(D50&gt;0,E50/D50,"")</f>
        <v/>
      </c>
    </row>
    <row r="51">
      <c r="A51" s="13" t="inlineStr">
        <is>
          <t>Jauja</t>
        </is>
      </c>
      <c r="B51" s="5" t="inlineStr">
        <is>
          <t>2026-Mar</t>
        </is>
      </c>
      <c r="C51" s="5" t="inlineStr">
        <is>
          <t>Parcial</t>
        </is>
      </c>
      <c r="D51" s="5" t="n">
        <v>1019</v>
      </c>
      <c r="E51" s="5" t="n">
        <v>1018</v>
      </c>
      <c r="F51" s="5" t="n">
        <v>12</v>
      </c>
      <c r="G51" s="7">
        <f>IF(D51&gt;0,E51/D51,"")</f>
        <v/>
      </c>
    </row>
    <row r="52">
      <c r="A52" s="14" t="inlineStr">
        <is>
          <t>Concepcion</t>
        </is>
      </c>
      <c r="B52" s="5" t="inlineStr">
        <is>
          <t>2017</t>
        </is>
      </c>
      <c r="C52" s="5" t="inlineStr">
        <is>
          <t>Anual</t>
        </is>
      </c>
      <c r="D52" s="5" t="n">
        <v>455</v>
      </c>
      <c r="E52" s="5" t="n">
        <v>453</v>
      </c>
      <c r="F52" s="5" t="n">
        <v>101</v>
      </c>
      <c r="G52" s="7">
        <f>IF(D52&gt;0,E52/D52,"")</f>
        <v/>
      </c>
    </row>
    <row r="53">
      <c r="A53" s="14" t="inlineStr">
        <is>
          <t>Concepcion</t>
        </is>
      </c>
      <c r="B53" s="5" t="inlineStr">
        <is>
          <t>2018</t>
        </is>
      </c>
      <c r="C53" s="5" t="inlineStr">
        <is>
          <t>Anual</t>
        </is>
      </c>
      <c r="D53" s="5" t="n">
        <v>727</v>
      </c>
      <c r="E53" s="5" t="n">
        <v>725</v>
      </c>
      <c r="F53" s="5" t="n">
        <v>20</v>
      </c>
      <c r="G53" s="7">
        <f>IF(D53&gt;0,E53/D53,"")</f>
        <v/>
      </c>
    </row>
    <row r="54">
      <c r="A54" s="14" t="inlineStr">
        <is>
          <t>Concepcion</t>
        </is>
      </c>
      <c r="B54" s="5" t="inlineStr">
        <is>
          <t>2019</t>
        </is>
      </c>
      <c r="C54" s="5" t="inlineStr">
        <is>
          <t>Anual</t>
        </is>
      </c>
      <c r="D54" s="5" t="n">
        <v>1204</v>
      </c>
      <c r="E54" s="5" t="n">
        <v>1180</v>
      </c>
      <c r="F54" s="5" t="n">
        <v>3</v>
      </c>
      <c r="G54" s="7">
        <f>IF(D54&gt;0,E54/D54,"")</f>
        <v/>
      </c>
    </row>
    <row r="55">
      <c r="A55" s="14" t="inlineStr">
        <is>
          <t>Concepcion</t>
        </is>
      </c>
      <c r="B55" s="5" t="inlineStr">
        <is>
          <t>2020</t>
        </is>
      </c>
      <c r="C55" s="5" t="inlineStr">
        <is>
          <t>Anual</t>
        </is>
      </c>
      <c r="D55" s="5" t="n">
        <v>696</v>
      </c>
      <c r="E55" s="5" t="n">
        <v>572</v>
      </c>
      <c r="F55" s="5" t="n">
        <v>19</v>
      </c>
      <c r="G55" s="7">
        <f>IF(D55&gt;0,E55/D55,"")</f>
        <v/>
      </c>
    </row>
    <row r="56">
      <c r="A56" s="14" t="inlineStr">
        <is>
          <t>Concepcion</t>
        </is>
      </c>
      <c r="B56" s="5" t="inlineStr">
        <is>
          <t>2021</t>
        </is>
      </c>
      <c r="C56" s="5" t="inlineStr">
        <is>
          <t>Anual</t>
        </is>
      </c>
      <c r="D56" s="5" t="n">
        <v>1246</v>
      </c>
      <c r="E56" s="5" t="n">
        <v>1238</v>
      </c>
      <c r="F56" s="5" t="n">
        <v>86</v>
      </c>
      <c r="G56" s="7">
        <f>IF(D56&gt;0,E56/D56,"")</f>
        <v/>
      </c>
    </row>
    <row r="57">
      <c r="A57" s="14" t="inlineStr">
        <is>
          <t>Concepcion</t>
        </is>
      </c>
      <c r="B57" s="5" t="inlineStr">
        <is>
          <t>2022</t>
        </is>
      </c>
      <c r="C57" s="5" t="inlineStr">
        <is>
          <t>Anual</t>
        </is>
      </c>
      <c r="D57" s="5" t="n">
        <v>1443</v>
      </c>
      <c r="E57" s="5" t="n">
        <v>1441</v>
      </c>
      <c r="F57" s="5" t="n">
        <v>78</v>
      </c>
      <c r="G57" s="7">
        <f>IF(D57&gt;0,E57/D57,"")</f>
        <v/>
      </c>
    </row>
    <row r="58">
      <c r="A58" s="14" t="inlineStr">
        <is>
          <t>Concepcion</t>
        </is>
      </c>
      <c r="B58" s="5" t="inlineStr">
        <is>
          <t>2023</t>
        </is>
      </c>
      <c r="C58" s="5" t="inlineStr">
        <is>
          <t>Anual</t>
        </is>
      </c>
      <c r="D58" s="5" t="n">
        <v>1616</v>
      </c>
      <c r="E58" s="5" t="n">
        <v>1610</v>
      </c>
      <c r="F58" s="5" t="n">
        <v>139</v>
      </c>
      <c r="G58" s="7">
        <f>IF(D58&gt;0,E58/D58,"")</f>
        <v/>
      </c>
    </row>
    <row r="59">
      <c r="A59" s="14" t="inlineStr">
        <is>
          <t>Concepcion</t>
        </is>
      </c>
      <c r="B59" s="5" t="inlineStr">
        <is>
          <t>2024</t>
        </is>
      </c>
      <c r="C59" s="5" t="inlineStr">
        <is>
          <t>Anual</t>
        </is>
      </c>
      <c r="D59" s="5" t="n">
        <v>2056</v>
      </c>
      <c r="E59" s="5" t="n">
        <v>2056</v>
      </c>
      <c r="F59" s="5" t="n">
        <v>87</v>
      </c>
      <c r="G59" s="7">
        <f>IF(D59&gt;0,E59/D59,"")</f>
        <v/>
      </c>
    </row>
    <row r="60">
      <c r="A60" s="14" t="inlineStr">
        <is>
          <t>Concepcion</t>
        </is>
      </c>
      <c r="B60" s="5" t="inlineStr">
        <is>
          <t>2025</t>
        </is>
      </c>
      <c r="C60" s="5" t="inlineStr">
        <is>
          <t>Anual</t>
        </is>
      </c>
      <c r="D60" s="5" t="n">
        <v>2866</v>
      </c>
      <c r="E60" s="5" t="n">
        <v>2863</v>
      </c>
      <c r="F60" s="5" t="n">
        <v>267</v>
      </c>
      <c r="G60" s="7">
        <f>IF(D60&gt;0,E60/D60,"")</f>
        <v/>
      </c>
    </row>
    <row r="61">
      <c r="A61" s="14" t="inlineStr">
        <is>
          <t>Concepcion</t>
        </is>
      </c>
      <c r="B61" s="5" t="inlineStr">
        <is>
          <t>2026-Mar</t>
        </is>
      </c>
      <c r="C61" s="5" t="inlineStr">
        <is>
          <t>Parcial</t>
        </is>
      </c>
      <c r="D61" s="5" t="n">
        <v>699</v>
      </c>
      <c r="E61" s="5" t="n">
        <v>699</v>
      </c>
      <c r="F61" s="5" t="n">
        <v>48</v>
      </c>
      <c r="G61" s="7">
        <f>IF(D61&gt;0,E61/D61,"")</f>
        <v/>
      </c>
    </row>
    <row r="62">
      <c r="A62" s="15" t="inlineStr">
        <is>
          <t>La Oroya</t>
        </is>
      </c>
      <c r="B62" s="5" t="inlineStr">
        <is>
          <t>2017</t>
        </is>
      </c>
      <c r="C62" s="5" t="inlineStr">
        <is>
          <t>Anual</t>
        </is>
      </c>
      <c r="D62" s="5" t="n">
        <v>877</v>
      </c>
      <c r="E62" s="5" t="n">
        <v>835</v>
      </c>
      <c r="F62" s="5" t="n">
        <v>243</v>
      </c>
      <c r="G62" s="7">
        <f>IF(D62&gt;0,E62/D62,"")</f>
        <v/>
      </c>
    </row>
    <row r="63">
      <c r="A63" s="15" t="inlineStr">
        <is>
          <t>La Oroya</t>
        </is>
      </c>
      <c r="B63" s="5" t="inlineStr">
        <is>
          <t>2018</t>
        </is>
      </c>
      <c r="C63" s="5" t="inlineStr">
        <is>
          <t>Anual</t>
        </is>
      </c>
      <c r="D63" s="5" t="n">
        <v>861</v>
      </c>
      <c r="E63" s="5" t="n">
        <v>841</v>
      </c>
      <c r="F63" s="5" t="n">
        <v>14</v>
      </c>
      <c r="G63" s="7">
        <f>IF(D63&gt;0,E63/D63,"")</f>
        <v/>
      </c>
    </row>
    <row r="64">
      <c r="A64" s="15" t="inlineStr">
        <is>
          <t>La Oroya</t>
        </is>
      </c>
      <c r="B64" s="5" t="inlineStr">
        <is>
          <t>2019</t>
        </is>
      </c>
      <c r="C64" s="5" t="inlineStr">
        <is>
          <t>Anual</t>
        </is>
      </c>
      <c r="D64" s="5" t="n">
        <v>981</v>
      </c>
      <c r="E64" s="5" t="n">
        <v>906</v>
      </c>
      <c r="F64" s="5" t="n">
        <v>41</v>
      </c>
      <c r="G64" s="7">
        <f>IF(D64&gt;0,E64/D64,"")</f>
        <v/>
      </c>
    </row>
    <row r="65">
      <c r="A65" s="15" t="inlineStr">
        <is>
          <t>La Oroya</t>
        </is>
      </c>
      <c r="B65" s="5" t="inlineStr">
        <is>
          <t>2020</t>
        </is>
      </c>
      <c r="C65" s="5" t="inlineStr">
        <is>
          <t>Anual</t>
        </is>
      </c>
      <c r="D65" s="5" t="n">
        <v>553</v>
      </c>
      <c r="E65" s="5" t="n">
        <v>398</v>
      </c>
      <c r="F65" s="5" t="n">
        <v>41</v>
      </c>
      <c r="G65" s="7">
        <f>IF(D65&gt;0,E65/D65,"")</f>
        <v/>
      </c>
    </row>
    <row r="66">
      <c r="A66" s="15" t="inlineStr">
        <is>
          <t>La Oroya</t>
        </is>
      </c>
      <c r="B66" s="5" t="inlineStr">
        <is>
          <t>2021</t>
        </is>
      </c>
      <c r="C66" s="5" t="inlineStr">
        <is>
          <t>Anual</t>
        </is>
      </c>
      <c r="D66" s="5" t="n">
        <v>924</v>
      </c>
      <c r="E66" s="5" t="n">
        <v>901</v>
      </c>
      <c r="F66" s="5" t="n">
        <v>64</v>
      </c>
      <c r="G66" s="7">
        <f>IF(D66&gt;0,E66/D66,"")</f>
        <v/>
      </c>
    </row>
    <row r="67">
      <c r="A67" s="15" t="inlineStr">
        <is>
          <t>La Oroya</t>
        </is>
      </c>
      <c r="B67" s="5" t="inlineStr">
        <is>
          <t>2022</t>
        </is>
      </c>
      <c r="C67" s="5" t="inlineStr">
        <is>
          <t>Anual</t>
        </is>
      </c>
      <c r="D67" s="5" t="n">
        <v>1204</v>
      </c>
      <c r="E67" s="5" t="n">
        <v>1191</v>
      </c>
      <c r="F67" s="5" t="n">
        <v>139</v>
      </c>
      <c r="G67" s="7">
        <f>IF(D67&gt;0,E67/D67,"")</f>
        <v/>
      </c>
    </row>
    <row r="68">
      <c r="A68" s="15" t="inlineStr">
        <is>
          <t>La Oroya</t>
        </is>
      </c>
      <c r="B68" s="5" t="inlineStr">
        <is>
          <t>2023</t>
        </is>
      </c>
      <c r="C68" s="5" t="inlineStr">
        <is>
          <t>Anual</t>
        </is>
      </c>
      <c r="D68" s="5" t="n">
        <v>1675</v>
      </c>
      <c r="E68" s="5" t="n">
        <v>1651</v>
      </c>
      <c r="F68" s="5" t="n">
        <v>256</v>
      </c>
      <c r="G68" s="7">
        <f>IF(D68&gt;0,E68/D68,"")</f>
        <v/>
      </c>
    </row>
    <row r="69">
      <c r="A69" s="15" t="inlineStr">
        <is>
          <t>La Oroya</t>
        </is>
      </c>
      <c r="B69" s="5" t="inlineStr">
        <is>
          <t>2024</t>
        </is>
      </c>
      <c r="C69" s="5" t="inlineStr">
        <is>
          <t>Anual</t>
        </is>
      </c>
      <c r="D69" s="5" t="n">
        <v>2000</v>
      </c>
      <c r="E69" s="5" t="n">
        <v>1953</v>
      </c>
      <c r="F69" s="5" t="n">
        <v>331</v>
      </c>
      <c r="G69" s="7">
        <f>IF(D69&gt;0,E69/D69,"")</f>
        <v/>
      </c>
    </row>
    <row r="70">
      <c r="A70" s="15" t="inlineStr">
        <is>
          <t>La Oroya</t>
        </is>
      </c>
      <c r="B70" s="5" t="inlineStr">
        <is>
          <t>2025</t>
        </is>
      </c>
      <c r="C70" s="5" t="inlineStr">
        <is>
          <t>Anual</t>
        </is>
      </c>
      <c r="D70" s="5" t="n">
        <v>1954</v>
      </c>
      <c r="E70" s="5" t="n">
        <v>1884</v>
      </c>
      <c r="F70" s="5" t="n">
        <v>283</v>
      </c>
      <c r="G70" s="7">
        <f>IF(D70&gt;0,E70/D70,"")</f>
        <v/>
      </c>
    </row>
    <row r="71">
      <c r="A71" s="15" t="inlineStr">
        <is>
          <t>La Oroya</t>
        </is>
      </c>
      <c r="B71" s="5" t="inlineStr">
        <is>
          <t>2026-Mar</t>
        </is>
      </c>
      <c r="C71" s="5" t="inlineStr">
        <is>
          <t>Parcial</t>
        </is>
      </c>
      <c r="D71" s="5" t="n">
        <v>319</v>
      </c>
      <c r="E71" s="5" t="n">
        <v>315</v>
      </c>
      <c r="F71" s="5" t="n">
        <v>51</v>
      </c>
      <c r="G71" s="7">
        <f>IF(D71&gt;0,E71/D71,"")</f>
        <v/>
      </c>
    </row>
    <row r="72">
      <c r="A72" s="16" t="inlineStr">
        <is>
          <t>Junin</t>
        </is>
      </c>
      <c r="B72" s="5" t="inlineStr">
        <is>
          <t>2017</t>
        </is>
      </c>
      <c r="C72" s="5" t="inlineStr">
        <is>
          <t>Anual</t>
        </is>
      </c>
      <c r="D72" s="5" t="n">
        <v>491</v>
      </c>
      <c r="E72" s="5" t="n">
        <v>444</v>
      </c>
      <c r="F72" s="5" t="n">
        <v>181</v>
      </c>
      <c r="G72" s="7">
        <f>IF(D72&gt;0,E72/D72,"")</f>
        <v/>
      </c>
    </row>
    <row r="73">
      <c r="A73" s="16" t="inlineStr">
        <is>
          <t>Junin</t>
        </is>
      </c>
      <c r="B73" s="5" t="inlineStr">
        <is>
          <t>2018</t>
        </is>
      </c>
      <c r="C73" s="5" t="inlineStr">
        <is>
          <t>Anual</t>
        </is>
      </c>
      <c r="D73" s="5" t="n">
        <v>365</v>
      </c>
      <c r="E73" s="5" t="n">
        <v>361</v>
      </c>
      <c r="F73" s="5" t="n">
        <v>71</v>
      </c>
      <c r="G73" s="7">
        <f>IF(D73&gt;0,E73/D73,"")</f>
        <v/>
      </c>
    </row>
    <row r="74">
      <c r="A74" s="16" t="inlineStr">
        <is>
          <t>Junin</t>
        </is>
      </c>
      <c r="B74" s="5" t="inlineStr">
        <is>
          <t>2019</t>
        </is>
      </c>
      <c r="C74" s="5" t="inlineStr">
        <is>
          <t>Anual</t>
        </is>
      </c>
      <c r="D74" s="5" t="n">
        <v>322</v>
      </c>
      <c r="E74" s="5" t="n">
        <v>302</v>
      </c>
      <c r="F74" s="5" t="n">
        <v>2</v>
      </c>
      <c r="G74" s="7">
        <f>IF(D74&gt;0,E74/D74,"")</f>
        <v/>
      </c>
    </row>
    <row r="75">
      <c r="A75" s="16" t="inlineStr">
        <is>
          <t>Junin</t>
        </is>
      </c>
      <c r="B75" s="5" t="inlineStr">
        <is>
          <t>2020</t>
        </is>
      </c>
      <c r="C75" s="5" t="inlineStr">
        <is>
          <t>Anual</t>
        </is>
      </c>
      <c r="D75" s="5" t="n">
        <v>91</v>
      </c>
      <c r="E75" s="5" t="n">
        <v>83</v>
      </c>
      <c r="F75" s="5" t="n">
        <v>13</v>
      </c>
      <c r="G75" s="7">
        <f>IF(D75&gt;0,E75/D75,"")</f>
        <v/>
      </c>
    </row>
    <row r="76">
      <c r="A76" s="16" t="inlineStr">
        <is>
          <t>Junin</t>
        </is>
      </c>
      <c r="B76" s="5" t="inlineStr">
        <is>
          <t>2021</t>
        </is>
      </c>
      <c r="C76" s="5" t="inlineStr">
        <is>
          <t>Anual</t>
        </is>
      </c>
      <c r="D76" s="5" t="n">
        <v>206</v>
      </c>
      <c r="E76" s="5" t="n">
        <v>206</v>
      </c>
      <c r="F76" s="5" t="n">
        <v>5</v>
      </c>
      <c r="G76" s="7">
        <f>IF(D76&gt;0,E76/D76,"")</f>
        <v/>
      </c>
    </row>
    <row r="77">
      <c r="A77" s="16" t="inlineStr">
        <is>
          <t>Junin</t>
        </is>
      </c>
      <c r="B77" s="5" t="inlineStr">
        <is>
          <t>2022</t>
        </is>
      </c>
      <c r="C77" s="5" t="inlineStr">
        <is>
          <t>Anual</t>
        </is>
      </c>
      <c r="D77" s="5" t="n">
        <v>269</v>
      </c>
      <c r="E77" s="5" t="n">
        <v>262</v>
      </c>
      <c r="F77" s="5" t="n">
        <v>4</v>
      </c>
      <c r="G77" s="7">
        <f>IF(D77&gt;0,E77/D77,"")</f>
        <v/>
      </c>
    </row>
    <row r="78">
      <c r="A78" s="16" t="inlineStr">
        <is>
          <t>Junin</t>
        </is>
      </c>
      <c r="B78" s="5" t="inlineStr">
        <is>
          <t>2023</t>
        </is>
      </c>
      <c r="C78" s="5" t="inlineStr">
        <is>
          <t>Anual</t>
        </is>
      </c>
      <c r="D78" s="5" t="n">
        <v>330</v>
      </c>
      <c r="E78" s="5" t="n">
        <v>327</v>
      </c>
      <c r="F78" s="5" t="n">
        <v>70</v>
      </c>
      <c r="G78" s="7">
        <f>IF(D78&gt;0,E78/D78,"")</f>
        <v/>
      </c>
    </row>
    <row r="79">
      <c r="A79" s="16" t="inlineStr">
        <is>
          <t>Junin</t>
        </is>
      </c>
      <c r="B79" s="5" t="inlineStr">
        <is>
          <t>2024</t>
        </is>
      </c>
      <c r="C79" s="5" t="inlineStr">
        <is>
          <t>Anual</t>
        </is>
      </c>
      <c r="D79" s="5" t="n">
        <v>460</v>
      </c>
      <c r="E79" s="5" t="n">
        <v>454</v>
      </c>
      <c r="F79" s="5" t="n">
        <v>79</v>
      </c>
      <c r="G79" s="7">
        <f>IF(D79&gt;0,E79/D79,"")</f>
        <v/>
      </c>
    </row>
    <row r="80">
      <c r="A80" s="16" t="inlineStr">
        <is>
          <t>Junin</t>
        </is>
      </c>
      <c r="B80" s="5" t="inlineStr">
        <is>
          <t>2025</t>
        </is>
      </c>
      <c r="C80" s="5" t="inlineStr">
        <is>
          <t>Anual</t>
        </is>
      </c>
      <c r="D80" s="5" t="n">
        <v>536</v>
      </c>
      <c r="E80" s="5" t="n">
        <v>522</v>
      </c>
      <c r="F80" s="5" t="n">
        <v>115</v>
      </c>
      <c r="G80" s="7">
        <f>IF(D80&gt;0,E80/D80,"")</f>
        <v/>
      </c>
    </row>
    <row r="81">
      <c r="A81" s="16" t="inlineStr">
        <is>
          <t>Junin</t>
        </is>
      </c>
      <c r="B81" s="5" t="inlineStr">
        <is>
          <t>2026-Mar</t>
        </is>
      </c>
      <c r="C81" s="5" t="inlineStr">
        <is>
          <t>Parcial</t>
        </is>
      </c>
      <c r="D81" s="5" t="n">
        <v>129</v>
      </c>
      <c r="E81" s="5" t="n">
        <v>112</v>
      </c>
      <c r="F81" s="5" t="n">
        <v>17</v>
      </c>
      <c r="G81" s="7">
        <f>IF(D81&gt;0,E81/D81,"")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 codeName="Hoja10">
    <tabColor theme="7"/>
    <outlinePr summaryBelow="1" summaryRight="1"/>
    <pageSetUpPr/>
  </sheetPr>
  <dimension ref="A1:L27"/>
  <sheetViews>
    <sheetView zoomScaleNormal="100" workbookViewId="0">
      <selection activeCell="O16" sqref="O16"/>
    </sheetView>
  </sheetViews>
  <sheetFormatPr baseColWidth="10" defaultColWidth="8.7109375" defaultRowHeight="15"/>
  <cols>
    <col width="18" customWidth="1" style="2" min="1" max="1"/>
    <col width="14" customWidth="1" style="2" min="2" max="2"/>
    <col width="11" customWidth="1" style="2" min="3" max="12"/>
    <col width="8.7109375" customWidth="1" style="2" min="13" max="16384"/>
  </cols>
  <sheetData>
    <row r="1" ht="21.75" customHeight="1">
      <c r="A1" s="96" t="inlineStr">
        <is>
          <t>AUDIENCIAS — VISTA PIVOT POR SEDE Y AÑO</t>
        </is>
      </c>
    </row>
    <row r="2" ht="15" customHeight="1">
      <c r="A2" s="97" t="inlineStr">
        <is>
          <t>SEDE</t>
        </is>
      </c>
      <c r="B2" s="97" t="inlineStr">
        <is>
          <t>MÉTRICA</t>
        </is>
      </c>
      <c r="C2" s="98" t="inlineStr">
        <is>
          <t>2017</t>
        </is>
      </c>
      <c r="D2" s="100" t="n"/>
      <c r="E2" s="100" t="n"/>
      <c r="F2" s="100" t="n"/>
      <c r="G2" s="100" t="n"/>
      <c r="H2" s="100" t="n"/>
      <c r="I2" s="100" t="n"/>
      <c r="J2" s="100" t="n"/>
      <c r="K2" s="100" t="n"/>
      <c r="L2" s="100" t="n"/>
    </row>
    <row r="3">
      <c r="A3" s="102" t="n"/>
      <c r="B3" s="102" t="n"/>
      <c r="C3" s="47" t="n"/>
      <c r="D3" s="47" t="n"/>
      <c r="E3" s="47" t="n"/>
      <c r="F3" s="47" t="n"/>
      <c r="G3" s="47" t="n"/>
      <c r="H3" s="47" t="n"/>
      <c r="I3" s="47" t="n"/>
      <c r="J3" s="47" t="n"/>
      <c r="K3" s="47" t="n"/>
      <c r="L3" s="47" t="n"/>
    </row>
    <row r="4">
      <c r="A4" s="4" t="inlineStr">
        <is>
          <t>Huancayo</t>
        </is>
      </c>
      <c r="B4" s="66" t="inlineStr">
        <is>
          <t>Programadas</t>
        </is>
      </c>
      <c r="C4" s="6" t="n">
        <v>16159</v>
      </c>
      <c r="D4" s="6" t="n">
        <v>19221</v>
      </c>
      <c r="E4" s="6" t="n">
        <v>24303</v>
      </c>
      <c r="F4" s="6" t="n">
        <v>15554</v>
      </c>
      <c r="G4" s="6" t="n">
        <v>26914</v>
      </c>
      <c r="H4" s="6" t="n">
        <v>30497</v>
      </c>
      <c r="I4" s="6" t="n">
        <v>34272</v>
      </c>
      <c r="J4" s="6" t="n">
        <v>33940</v>
      </c>
      <c r="K4" s="6" t="n">
        <v>40546</v>
      </c>
      <c r="L4" s="6" t="n">
        <v>8945</v>
      </c>
    </row>
    <row r="5">
      <c r="A5" s="4" t="n"/>
      <c r="B5" s="66" t="inlineStr">
        <is>
          <t>Atendidas</t>
        </is>
      </c>
      <c r="C5" s="6" t="n">
        <v>14326</v>
      </c>
      <c r="D5" s="6" t="n">
        <v>18989</v>
      </c>
      <c r="E5" s="6" t="n">
        <v>23560</v>
      </c>
      <c r="F5" s="6" t="n">
        <v>11704</v>
      </c>
      <c r="G5" s="6" t="n">
        <v>26464</v>
      </c>
      <c r="H5" s="6" t="n">
        <v>30280</v>
      </c>
      <c r="I5" s="6" t="n">
        <v>33822</v>
      </c>
      <c r="J5" s="6" t="n">
        <v>33513</v>
      </c>
      <c r="K5" s="6" t="n">
        <v>40027</v>
      </c>
      <c r="L5" s="6" t="n">
        <v>8904</v>
      </c>
    </row>
    <row r="6">
      <c r="A6" s="4" t="n"/>
      <c r="B6" s="50" t="inlineStr">
        <is>
          <t>Suspendidas</t>
        </is>
      </c>
      <c r="C6" s="67" t="n">
        <v>4470</v>
      </c>
      <c r="D6" s="67" t="n">
        <v>2517</v>
      </c>
      <c r="E6" s="67" t="n">
        <v>80</v>
      </c>
      <c r="F6" s="67" t="n">
        <v>229</v>
      </c>
      <c r="G6" s="67" t="n">
        <v>84</v>
      </c>
      <c r="H6" s="67" t="n">
        <v>25</v>
      </c>
      <c r="I6" s="67" t="n">
        <v>28</v>
      </c>
      <c r="J6" s="67" t="n">
        <v>31</v>
      </c>
      <c r="K6" s="67" t="n">
        <v>43</v>
      </c>
      <c r="L6" s="67" t="n">
        <v>8</v>
      </c>
    </row>
    <row r="7">
      <c r="A7" s="10" t="inlineStr">
        <is>
          <t>Tarma</t>
        </is>
      </c>
      <c r="B7" s="66" t="inlineStr">
        <is>
          <t>Programadas</t>
        </is>
      </c>
      <c r="C7" s="6" t="n">
        <v>2802</v>
      </c>
      <c r="D7" s="6" t="n">
        <v>1831</v>
      </c>
      <c r="E7" s="6" t="n">
        <v>2531</v>
      </c>
      <c r="F7" s="6" t="n">
        <v>1640</v>
      </c>
      <c r="G7" s="6" t="n">
        <v>2905</v>
      </c>
      <c r="H7" s="6" t="n">
        <v>3590</v>
      </c>
      <c r="I7" s="6" t="n">
        <v>3610</v>
      </c>
      <c r="J7" s="6" t="n">
        <v>3386</v>
      </c>
      <c r="K7" s="6" t="n">
        <v>2895</v>
      </c>
      <c r="L7" s="6" t="n">
        <v>506</v>
      </c>
    </row>
    <row r="8">
      <c r="A8" s="10" t="n"/>
      <c r="B8" s="66" t="inlineStr">
        <is>
          <t>Atendidas</t>
        </is>
      </c>
      <c r="C8" s="6" t="n">
        <v>2742</v>
      </c>
      <c r="D8" s="6" t="n">
        <v>1787</v>
      </c>
      <c r="E8" s="6" t="n">
        <v>2434</v>
      </c>
      <c r="F8" s="6" t="n">
        <v>1322</v>
      </c>
      <c r="G8" s="6" t="n">
        <v>2858</v>
      </c>
      <c r="H8" s="6" t="n">
        <v>3526</v>
      </c>
      <c r="I8" s="6" t="n">
        <v>3575</v>
      </c>
      <c r="J8" s="6" t="n">
        <v>3374</v>
      </c>
      <c r="K8" s="6" t="n">
        <v>2824</v>
      </c>
      <c r="L8" s="6" t="n">
        <v>489</v>
      </c>
    </row>
    <row r="9">
      <c r="A9" s="10" t="n"/>
      <c r="B9" s="50" t="inlineStr">
        <is>
          <t>Suspendidas</t>
        </is>
      </c>
      <c r="C9" s="67" t="n">
        <v>370</v>
      </c>
      <c r="D9" s="67" t="n">
        <v>114</v>
      </c>
      <c r="E9" s="67" t="n">
        <v>5</v>
      </c>
      <c r="F9" s="67" t="n">
        <v>14</v>
      </c>
      <c r="G9" s="67" t="n">
        <v>89</v>
      </c>
      <c r="H9" s="67" t="n">
        <v>84</v>
      </c>
      <c r="I9" s="67" t="n">
        <v>149</v>
      </c>
      <c r="J9" s="67" t="n">
        <v>45</v>
      </c>
      <c r="K9" s="67" t="n">
        <v>45</v>
      </c>
      <c r="L9" s="67" t="n">
        <v>9</v>
      </c>
    </row>
    <row r="10">
      <c r="A10" s="11" t="inlineStr">
        <is>
          <t>Chupaca</t>
        </is>
      </c>
      <c r="B10" s="66" t="inlineStr">
        <is>
          <t>Programadas</t>
        </is>
      </c>
      <c r="C10" s="6" t="n">
        <v>905</v>
      </c>
      <c r="D10" s="6" t="n">
        <v>1225</v>
      </c>
      <c r="E10" s="6" t="n">
        <v>1535</v>
      </c>
      <c r="F10" s="6" t="n">
        <v>932</v>
      </c>
      <c r="G10" s="6" t="n">
        <v>1347</v>
      </c>
      <c r="H10" s="6" t="n">
        <v>1640</v>
      </c>
      <c r="I10" s="6" t="n">
        <v>1813</v>
      </c>
      <c r="J10" s="6" t="n">
        <v>2228</v>
      </c>
      <c r="K10" s="6" t="n">
        <v>2904</v>
      </c>
      <c r="L10" s="6" t="n">
        <v>646</v>
      </c>
    </row>
    <row r="11">
      <c r="A11" s="11" t="n"/>
      <c r="B11" s="66" t="inlineStr">
        <is>
          <t>Atendidas</t>
        </is>
      </c>
      <c r="C11" s="6" t="n">
        <v>905</v>
      </c>
      <c r="D11" s="6" t="n">
        <v>1221</v>
      </c>
      <c r="E11" s="6" t="n">
        <v>1528</v>
      </c>
      <c r="F11" s="6" t="n">
        <v>870</v>
      </c>
      <c r="G11" s="6" t="n">
        <v>1344</v>
      </c>
      <c r="H11" s="6" t="n">
        <v>1636</v>
      </c>
      <c r="I11" s="6" t="n">
        <v>1806</v>
      </c>
      <c r="J11" s="6" t="n">
        <v>2219</v>
      </c>
      <c r="K11" s="6" t="n">
        <v>2883</v>
      </c>
      <c r="L11" s="6" t="n">
        <v>646</v>
      </c>
    </row>
    <row r="12">
      <c r="A12" s="11" t="n"/>
      <c r="B12" s="50" t="inlineStr">
        <is>
          <t>Suspendidas</t>
        </is>
      </c>
      <c r="C12" s="67" t="n">
        <v>245</v>
      </c>
      <c r="D12" s="67" t="n">
        <v>453</v>
      </c>
      <c r="E12" s="67" t="n">
        <v>352</v>
      </c>
      <c r="F12" s="67" t="n">
        <v>118</v>
      </c>
      <c r="G12" s="67" t="n">
        <v>218</v>
      </c>
      <c r="H12" s="67" t="n">
        <v>230</v>
      </c>
      <c r="I12" s="67" t="n">
        <v>306</v>
      </c>
      <c r="J12" s="67" t="n">
        <v>309</v>
      </c>
      <c r="K12" s="67" t="n">
        <v>491</v>
      </c>
      <c r="L12" s="67" t="n">
        <v>124</v>
      </c>
    </row>
    <row r="13">
      <c r="A13" s="12" t="inlineStr">
        <is>
          <t>Pampas</t>
        </is>
      </c>
      <c r="B13" s="66" t="inlineStr">
        <is>
          <t>Programadas</t>
        </is>
      </c>
      <c r="C13" s="6" t="n"/>
      <c r="D13" s="6" t="n"/>
      <c r="E13" s="6" t="n"/>
      <c r="F13" s="6" t="n"/>
      <c r="G13" s="6" t="n">
        <v>1774</v>
      </c>
      <c r="H13" s="6" t="n">
        <v>1988</v>
      </c>
      <c r="I13" s="6" t="n">
        <v>2030</v>
      </c>
      <c r="J13" s="6" t="n">
        <v>2505</v>
      </c>
      <c r="K13" s="6" t="n">
        <v>2424</v>
      </c>
      <c r="L13" s="6" t="n">
        <v>413</v>
      </c>
    </row>
    <row r="14">
      <c r="A14" s="12" t="n"/>
      <c r="B14" s="66" t="inlineStr">
        <is>
          <t>Atendidas</t>
        </is>
      </c>
      <c r="C14" s="6" t="n"/>
      <c r="D14" s="6" t="n"/>
      <c r="E14" s="6" t="n"/>
      <c r="F14" s="6" t="n"/>
      <c r="G14" s="6" t="n">
        <v>1758</v>
      </c>
      <c r="H14" s="6" t="n">
        <v>1981</v>
      </c>
      <c r="I14" s="6" t="n">
        <v>2029</v>
      </c>
      <c r="J14" s="6" t="n">
        <v>2497</v>
      </c>
      <c r="K14" s="6" t="n">
        <v>2421</v>
      </c>
      <c r="L14" s="6" t="n">
        <v>413</v>
      </c>
    </row>
    <row r="15">
      <c r="A15" s="12" t="n"/>
      <c r="B15" s="50" t="inlineStr">
        <is>
          <t>Suspendidas</t>
        </is>
      </c>
      <c r="C15" s="67" t="n"/>
      <c r="D15" s="67" t="n"/>
      <c r="E15" s="67" t="n"/>
      <c r="F15" s="67" t="n"/>
      <c r="G15" s="67" t="n">
        <v>179</v>
      </c>
      <c r="H15" s="67" t="n">
        <v>19</v>
      </c>
      <c r="I15" s="67" t="n">
        <v>24</v>
      </c>
      <c r="J15" s="67" t="n">
        <v>162</v>
      </c>
      <c r="K15" s="67" t="n">
        <v>63</v>
      </c>
      <c r="L15" s="67" t="n">
        <v>10</v>
      </c>
    </row>
    <row r="16">
      <c r="A16" s="13" t="inlineStr">
        <is>
          <t>Jauja</t>
        </is>
      </c>
      <c r="B16" s="66" t="inlineStr">
        <is>
          <t>Programadas</t>
        </is>
      </c>
      <c r="C16" s="6" t="n"/>
      <c r="D16" s="6" t="n"/>
      <c r="E16" s="6" t="n"/>
      <c r="F16" s="6" t="n">
        <v>565</v>
      </c>
      <c r="G16" s="6" t="n">
        <v>2522</v>
      </c>
      <c r="H16" s="6" t="n">
        <v>3220</v>
      </c>
      <c r="I16" s="6" t="n">
        <v>4073</v>
      </c>
      <c r="J16" s="6" t="n">
        <v>5763</v>
      </c>
      <c r="K16" s="6" t="n">
        <v>6702</v>
      </c>
      <c r="L16" s="6" t="n">
        <v>1019</v>
      </c>
    </row>
    <row r="17">
      <c r="A17" s="13" t="n"/>
      <c r="B17" s="66" t="inlineStr">
        <is>
          <t>Atendidas</t>
        </is>
      </c>
      <c r="C17" s="6" t="n"/>
      <c r="D17" s="6" t="n"/>
      <c r="E17" s="6" t="n"/>
      <c r="F17" s="6" t="n">
        <v>554</v>
      </c>
      <c r="G17" s="6" t="n">
        <v>2502</v>
      </c>
      <c r="H17" s="6" t="n">
        <v>3171</v>
      </c>
      <c r="I17" s="6" t="n">
        <v>4033</v>
      </c>
      <c r="J17" s="6" t="n">
        <v>5750</v>
      </c>
      <c r="K17" s="6" t="n">
        <v>6677</v>
      </c>
      <c r="L17" s="6" t="n">
        <v>1018</v>
      </c>
    </row>
    <row r="18">
      <c r="A18" s="13" t="n"/>
      <c r="B18" s="50" t="inlineStr">
        <is>
          <t>Suspendidas</t>
        </is>
      </c>
      <c r="C18" s="67" t="n"/>
      <c r="D18" s="67" t="n"/>
      <c r="E18" s="67" t="n"/>
      <c r="F18" s="67" t="n">
        <v>39</v>
      </c>
      <c r="G18" s="67" t="n">
        <v>108</v>
      </c>
      <c r="H18" s="67" t="n">
        <v>173</v>
      </c>
      <c r="I18" s="67" t="n">
        <v>53</v>
      </c>
      <c r="J18" s="67" t="n">
        <v>59</v>
      </c>
      <c r="K18" s="67" t="n">
        <v>263</v>
      </c>
      <c r="L18" s="67" t="n">
        <v>12</v>
      </c>
    </row>
    <row r="19">
      <c r="A19" s="14" t="inlineStr">
        <is>
          <t>Concepcion</t>
        </is>
      </c>
      <c r="B19" s="66" t="inlineStr">
        <is>
          <t>Programadas</t>
        </is>
      </c>
      <c r="C19" s="6" t="n">
        <v>455</v>
      </c>
      <c r="D19" s="6" t="n">
        <v>727</v>
      </c>
      <c r="E19" s="6" t="n">
        <v>1204</v>
      </c>
      <c r="F19" s="6" t="n">
        <v>696</v>
      </c>
      <c r="G19" s="6" t="n">
        <v>1246</v>
      </c>
      <c r="H19" s="6" t="n">
        <v>1443</v>
      </c>
      <c r="I19" s="6" t="n">
        <v>1616</v>
      </c>
      <c r="J19" s="6" t="n">
        <v>2056</v>
      </c>
      <c r="K19" s="6" t="n">
        <v>2866</v>
      </c>
      <c r="L19" s="6" t="n">
        <v>699</v>
      </c>
    </row>
    <row r="20">
      <c r="A20" s="14" t="n"/>
      <c r="B20" s="66" t="inlineStr">
        <is>
          <t>Atendidas</t>
        </is>
      </c>
      <c r="C20" s="6" t="n">
        <v>453</v>
      </c>
      <c r="D20" s="6" t="n">
        <v>725</v>
      </c>
      <c r="E20" s="6" t="n">
        <v>1180</v>
      </c>
      <c r="F20" s="6" t="n">
        <v>572</v>
      </c>
      <c r="G20" s="6" t="n">
        <v>1238</v>
      </c>
      <c r="H20" s="6" t="n">
        <v>1441</v>
      </c>
      <c r="I20" s="6" t="n">
        <v>1610</v>
      </c>
      <c r="J20" s="6" t="n">
        <v>2056</v>
      </c>
      <c r="K20" s="6" t="n">
        <v>2863</v>
      </c>
      <c r="L20" s="6" t="n">
        <v>699</v>
      </c>
    </row>
    <row r="21">
      <c r="A21" s="14" t="n"/>
      <c r="B21" s="50" t="inlineStr">
        <is>
          <t>Suspendidas</t>
        </is>
      </c>
      <c r="C21" s="67" t="n">
        <v>101</v>
      </c>
      <c r="D21" s="67" t="n">
        <v>20</v>
      </c>
      <c r="E21" s="67" t="n">
        <v>3</v>
      </c>
      <c r="F21" s="67" t="n">
        <v>19</v>
      </c>
      <c r="G21" s="67" t="n">
        <v>86</v>
      </c>
      <c r="H21" s="67" t="n">
        <v>78</v>
      </c>
      <c r="I21" s="67" t="n">
        <v>139</v>
      </c>
      <c r="J21" s="67" t="n">
        <v>87</v>
      </c>
      <c r="K21" s="67" t="n">
        <v>267</v>
      </c>
      <c r="L21" s="67" t="n">
        <v>48</v>
      </c>
    </row>
    <row r="22">
      <c r="A22" s="15" t="inlineStr">
        <is>
          <t>La Oroya</t>
        </is>
      </c>
      <c r="B22" s="66" t="inlineStr">
        <is>
          <t>Programadas</t>
        </is>
      </c>
      <c r="C22" s="6" t="n">
        <v>877</v>
      </c>
      <c r="D22" s="6" t="n">
        <v>861</v>
      </c>
      <c r="E22" s="6" t="n">
        <v>981</v>
      </c>
      <c r="F22" s="6" t="n">
        <v>553</v>
      </c>
      <c r="G22" s="6" t="n">
        <v>924</v>
      </c>
      <c r="H22" s="6" t="n">
        <v>1204</v>
      </c>
      <c r="I22" s="6" t="n">
        <v>1675</v>
      </c>
      <c r="J22" s="6" t="n">
        <v>2000</v>
      </c>
      <c r="K22" s="6" t="n">
        <v>1954</v>
      </c>
      <c r="L22" s="6" t="n">
        <v>319</v>
      </c>
    </row>
    <row r="23">
      <c r="A23" s="15" t="n"/>
      <c r="B23" s="66" t="inlineStr">
        <is>
          <t>Atendidas</t>
        </is>
      </c>
      <c r="C23" s="6" t="n">
        <v>835</v>
      </c>
      <c r="D23" s="6" t="n">
        <v>841</v>
      </c>
      <c r="E23" s="6" t="n">
        <v>906</v>
      </c>
      <c r="F23" s="6" t="n">
        <v>398</v>
      </c>
      <c r="G23" s="6" t="n">
        <v>901</v>
      </c>
      <c r="H23" s="6" t="n">
        <v>1191</v>
      </c>
      <c r="I23" s="6" t="n">
        <v>1651</v>
      </c>
      <c r="J23" s="6" t="n">
        <v>1953</v>
      </c>
      <c r="K23" s="6" t="n">
        <v>1884</v>
      </c>
      <c r="L23" s="6" t="n">
        <v>315</v>
      </c>
    </row>
    <row r="24">
      <c r="A24" s="15" t="n"/>
      <c r="B24" s="50" t="inlineStr">
        <is>
          <t>Suspendidas</t>
        </is>
      </c>
      <c r="C24" s="67" t="n">
        <v>243</v>
      </c>
      <c r="D24" s="67" t="n">
        <v>14</v>
      </c>
      <c r="E24" s="67" t="n">
        <v>41</v>
      </c>
      <c r="F24" s="67" t="n">
        <v>41</v>
      </c>
      <c r="G24" s="67" t="n">
        <v>64</v>
      </c>
      <c r="H24" s="67" t="n">
        <v>139</v>
      </c>
      <c r="I24" s="67" t="n">
        <v>256</v>
      </c>
      <c r="J24" s="67" t="n">
        <v>331</v>
      </c>
      <c r="K24" s="67" t="n">
        <v>283</v>
      </c>
      <c r="L24" s="67" t="n">
        <v>51</v>
      </c>
    </row>
    <row r="25">
      <c r="A25" s="16" t="inlineStr">
        <is>
          <t>Junin</t>
        </is>
      </c>
      <c r="B25" s="66" t="inlineStr">
        <is>
          <t>Programadas</t>
        </is>
      </c>
      <c r="C25" s="6" t="n">
        <v>491</v>
      </c>
      <c r="D25" s="6" t="n">
        <v>365</v>
      </c>
      <c r="E25" s="6" t="n">
        <v>322</v>
      </c>
      <c r="F25" s="6" t="n">
        <v>91</v>
      </c>
      <c r="G25" s="6" t="n">
        <v>206</v>
      </c>
      <c r="H25" s="6" t="n">
        <v>269</v>
      </c>
      <c r="I25" s="6" t="n">
        <v>330</v>
      </c>
      <c r="J25" s="6" t="n">
        <v>460</v>
      </c>
      <c r="K25" s="6" t="n">
        <v>536</v>
      </c>
      <c r="L25" s="6" t="n">
        <v>129</v>
      </c>
    </row>
    <row r="26">
      <c r="A26" s="16" t="n"/>
      <c r="B26" s="66" t="inlineStr">
        <is>
          <t>Atendidas</t>
        </is>
      </c>
      <c r="C26" s="6" t="n">
        <v>444</v>
      </c>
      <c r="D26" s="6" t="n">
        <v>361</v>
      </c>
      <c r="E26" s="6" t="n">
        <v>302</v>
      </c>
      <c r="F26" s="6" t="n">
        <v>83</v>
      </c>
      <c r="G26" s="6" t="n">
        <v>206</v>
      </c>
      <c r="H26" s="6" t="n">
        <v>262</v>
      </c>
      <c r="I26" s="6" t="n">
        <v>327</v>
      </c>
      <c r="J26" s="6" t="n">
        <v>454</v>
      </c>
      <c r="K26" s="6" t="n">
        <v>522</v>
      </c>
      <c r="L26" s="6" t="n">
        <v>112</v>
      </c>
    </row>
    <row r="27">
      <c r="A27" s="16" t="n"/>
      <c r="B27" s="50" t="inlineStr">
        <is>
          <t>Suspendidas</t>
        </is>
      </c>
      <c r="C27" s="67" t="n">
        <v>181</v>
      </c>
      <c r="D27" s="67" t="n">
        <v>71</v>
      </c>
      <c r="E27" s="67" t="n">
        <v>2</v>
      </c>
      <c r="F27" s="67" t="n">
        <v>13</v>
      </c>
      <c r="G27" s="67" t="n">
        <v>5</v>
      </c>
      <c r="H27" s="67" t="n">
        <v>4</v>
      </c>
      <c r="I27" s="67" t="n">
        <v>70</v>
      </c>
      <c r="J27" s="67" t="n">
        <v>79</v>
      </c>
      <c r="K27" s="67" t="n">
        <v>115</v>
      </c>
      <c r="L27" s="67" t="n">
        <v>17</v>
      </c>
    </row>
  </sheetData>
  <mergeCells count="4">
    <mergeCell ref="A1:L1"/>
    <mergeCell ref="C2:L2"/>
    <mergeCell ref="A2:A3"/>
    <mergeCell ref="B2:B3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ORGANO_JURISDICCIONAL</t>
        </is>
      </c>
      <c r="B1" t="inlineStr">
        <is>
          <t>CARGA_MAXIMA</t>
        </is>
      </c>
      <c r="C1" t="inlineStr">
        <is>
          <t>CARGA_PROYECTADA</t>
        </is>
      </c>
      <c r="D1" t="inlineStr">
        <is>
          <t>PORC_SOBRECARGA</t>
        </is>
      </c>
    </row>
    <row r="2">
      <c r="A2" t="inlineStr">
        <is>
          <t>SALA CIVIL DE HUANCAYO</t>
        </is>
      </c>
      <c r="B2" t="n">
        <v>2380</v>
      </c>
      <c r="C2" t="n">
        <v>3049</v>
      </c>
      <c r="D2" t="n">
        <v>28.1</v>
      </c>
    </row>
    <row r="3">
      <c r="A3" t="inlineStr">
        <is>
          <t>1° JUZGADO PENAL UNIPERSONAL DE HUANCAYO (PROC. INMEDIATOS)</t>
        </is>
      </c>
      <c r="B3" t="n">
        <v>1100</v>
      </c>
      <c r="C3" t="n">
        <v>2069</v>
      </c>
      <c r="D3" t="n">
        <v>88.09999999999999</v>
      </c>
    </row>
    <row r="4">
      <c r="A4" t="inlineStr">
        <is>
          <t>3° JUZGADO PENAL UNIPERSONAL DE HUANCAYO (PROC. INMEDIATOS)</t>
        </is>
      </c>
      <c r="B4" t="n">
        <v>1100</v>
      </c>
      <c r="C4" t="n">
        <v>1512</v>
      </c>
      <c r="D4" t="n">
        <v>37.5</v>
      </c>
    </row>
    <row r="5">
      <c r="A5" t="inlineStr">
        <is>
          <t>2° JUZGADO PENAL UNIPERSONAL DE HUANCAYO (PROC. COMUNES)</t>
        </is>
      </c>
      <c r="B5" t="n">
        <v>550</v>
      </c>
      <c r="C5" t="n">
        <v>1354</v>
      </c>
      <c r="D5" t="n">
        <v>146.2</v>
      </c>
    </row>
    <row r="6">
      <c r="A6" t="inlineStr">
        <is>
          <t>4° JUZGADO PENAL UNIPERSONAL DE HUANCAYO (PROC. COMUNES)</t>
        </is>
      </c>
      <c r="B6" t="n">
        <v>550</v>
      </c>
      <c r="C6" t="n">
        <v>1348</v>
      </c>
      <c r="D6" t="n">
        <v>145.1</v>
      </c>
    </row>
    <row r="7">
      <c r="A7" t="inlineStr">
        <is>
          <t>2° JUZGADO DE INVESTIGACIÓN PREPARATORIA DE HUANCAYO (PROC. COMUNES)</t>
        </is>
      </c>
      <c r="B7" t="n">
        <v>810</v>
      </c>
      <c r="C7" t="n">
        <v>1316</v>
      </c>
      <c r="D7" t="n">
        <v>62.5</v>
      </c>
    </row>
    <row r="8">
      <c r="A8" t="inlineStr">
        <is>
          <t>1° JUZGADO DE INVESTIGACIÓN PREPARATORIA DE HUANCAYO (PROC. COMUNES)</t>
        </is>
      </c>
      <c r="B8" t="n">
        <v>810</v>
      </c>
      <c r="C8" t="n">
        <v>1255</v>
      </c>
      <c r="D8" t="n">
        <v>54.9</v>
      </c>
    </row>
    <row r="9">
      <c r="A9" t="inlineStr">
        <is>
          <t>6° JUZGADO DE INVESTIGACIÓN PREPARATORIA DE HUANCAYO (PROC. COMUNES)</t>
        </is>
      </c>
      <c r="B9" t="n">
        <v>810</v>
      </c>
      <c r="C9" t="n">
        <v>1254</v>
      </c>
      <c r="D9" t="n">
        <v>54.8</v>
      </c>
    </row>
    <row r="10">
      <c r="A10" t="inlineStr">
        <is>
          <t>2° JUZGADO DE FAMILIA DE HUANCAYO</t>
        </is>
      </c>
      <c r="B10" t="n">
        <v>850</v>
      </c>
      <c r="C10" t="n">
        <v>1152</v>
      </c>
      <c r="D10" t="n">
        <v>35.5</v>
      </c>
    </row>
    <row r="11">
      <c r="A11" t="inlineStr">
        <is>
          <t>JUZGADO DE INVESTIGACIÓN PREPARATORIA DE CHUPACA (PROC. INMEDIATOS) (PROC. COMUNES)</t>
        </is>
      </c>
      <c r="B11" t="n">
        <v>810</v>
      </c>
      <c r="C11" t="n">
        <v>1068</v>
      </c>
      <c r="D11" t="n">
        <v>31.9</v>
      </c>
    </row>
    <row r="12">
      <c r="A12" t="inlineStr">
        <is>
          <t>5° JUZGADO DE INVESTIGACIÓN PREPARATORIA SUPRAPROVINCIAL ESPECIALIZADO EN DELITO DE CORRUPCIÓN DE FUNCIONARIOS DE HUANCAYO</t>
        </is>
      </c>
      <c r="B12" t="n">
        <v>180</v>
      </c>
      <c r="C12" t="n">
        <v>329</v>
      </c>
      <c r="D12" t="n">
        <v>82.8</v>
      </c>
    </row>
    <row r="13">
      <c r="A13" t="inlineStr">
        <is>
          <t>8° JUZGADO DE INVESTIGACIÓN PREPARATORIA SUPRAPROVINCIAL ESPECIALIZADO EN DELITO DE CORRUPCIÓN DE FUNCIONARIOS DE HUANCAYO</t>
        </is>
      </c>
      <c r="B13" t="n">
        <v>180</v>
      </c>
      <c r="C13" t="n">
        <v>310</v>
      </c>
      <c r="D13" t="n">
        <v>72.2</v>
      </c>
    </row>
    <row r="14">
      <c r="A14" t="inlineStr">
        <is>
          <t>6° JUZGADO PENAL UNIPERSONAL SUPRAPROVINCIAL ESPECIALIZADO EN DELITOS DE CORRUPCIÓN DE FUNCIONARIOS HUANCAYO</t>
        </is>
      </c>
      <c r="B14" t="n">
        <v>90</v>
      </c>
      <c r="C14" t="n">
        <v>296</v>
      </c>
      <c r="D14" t="n">
        <v>228.9</v>
      </c>
    </row>
    <row r="15">
      <c r="A15" t="inlineStr">
        <is>
          <t>5° JUZGADO PENAL UNIPERSONAL SUPRAPROVINCIAL ESPECIALIZADO EN DELITOS DE CORRUPCIÓN DE FUNCIONARIOS HUANCAYO</t>
        </is>
      </c>
      <c r="B15" t="n">
        <v>90</v>
      </c>
      <c r="C15" t="n">
        <v>267</v>
      </c>
      <c r="D15" t="n">
        <v>196.7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Provincia</t>
        </is>
      </c>
      <c r="B1" t="inlineStr">
        <is>
          <t>TasaCrec</t>
        </is>
      </c>
      <c r="C1" t="inlineStr">
        <is>
          <t>2026</t>
        </is>
      </c>
      <c r="D1" t="inlineStr">
        <is>
          <t>2027</t>
        </is>
      </c>
      <c r="E1" t="inlineStr">
        <is>
          <t>2028</t>
        </is>
      </c>
      <c r="F1" t="inlineStr">
        <is>
          <t>2029</t>
        </is>
      </c>
      <c r="G1" t="inlineStr">
        <is>
          <t>2030</t>
        </is>
      </c>
      <c r="H1" t="inlineStr">
        <is>
          <t>2031</t>
        </is>
      </c>
    </row>
    <row r="2">
      <c r="A2" t="inlineStr">
        <is>
          <t>Huancayo</t>
        </is>
      </c>
      <c r="B2" t="n">
        <v>1</v>
      </c>
      <c r="C2" t="n">
        <v>630005</v>
      </c>
      <c r="D2" t="n">
        <v>636085</v>
      </c>
      <c r="E2" t="n">
        <v>642224</v>
      </c>
      <c r="F2" t="n">
        <v>648422</v>
      </c>
      <c r="G2" t="n">
        <v>654680</v>
      </c>
      <c r="H2" t="n">
        <v>660997</v>
      </c>
    </row>
    <row r="3">
      <c r="A3" t="inlineStr">
        <is>
          <t>Concepción</t>
        </is>
      </c>
      <c r="B3" t="n">
        <v>-0.3</v>
      </c>
      <c r="C3" t="n">
        <v>57682</v>
      </c>
      <c r="D3" t="n">
        <v>57531</v>
      </c>
      <c r="E3" t="n">
        <v>57381</v>
      </c>
      <c r="F3" t="n">
        <v>57231</v>
      </c>
      <c r="G3" t="n">
        <v>57082</v>
      </c>
      <c r="H3" t="n">
        <v>56933</v>
      </c>
    </row>
    <row r="4">
      <c r="A4" t="inlineStr">
        <is>
          <t>Jauja</t>
        </is>
      </c>
      <c r="B4" t="n">
        <v>-0.4</v>
      </c>
      <c r="C4" t="n">
        <v>85233</v>
      </c>
      <c r="D4" t="n">
        <v>84879</v>
      </c>
      <c r="E4" t="n">
        <v>84527</v>
      </c>
      <c r="F4" t="n">
        <v>84176</v>
      </c>
      <c r="G4" t="n">
        <v>83826</v>
      </c>
      <c r="H4" t="n">
        <v>83478</v>
      </c>
    </row>
    <row r="5">
      <c r="A5" t="inlineStr">
        <is>
          <t>Junín (prov.)</t>
        </is>
      </c>
      <c r="B5" t="n">
        <v>-2</v>
      </c>
      <c r="C5" t="n">
        <v>19472</v>
      </c>
      <c r="D5" t="n">
        <v>19085</v>
      </c>
      <c r="E5" t="n">
        <v>18706</v>
      </c>
      <c r="F5" t="n">
        <v>18334</v>
      </c>
      <c r="G5" t="n">
        <v>17970</v>
      </c>
      <c r="H5" t="n">
        <v>17613</v>
      </c>
    </row>
    <row r="6">
      <c r="A6" t="inlineStr">
        <is>
          <t>Tarma</t>
        </is>
      </c>
      <c r="B6" t="n">
        <v>-1.4</v>
      </c>
      <c r="C6" t="n">
        <v>81895</v>
      </c>
      <c r="D6" t="n">
        <v>80711</v>
      </c>
      <c r="E6" t="n">
        <v>79545</v>
      </c>
      <c r="F6" t="n">
        <v>78396</v>
      </c>
      <c r="G6" t="n">
        <v>77263</v>
      </c>
      <c r="H6" t="n">
        <v>76147</v>
      </c>
    </row>
    <row r="7">
      <c r="A7" t="inlineStr">
        <is>
          <t>Yauli</t>
        </is>
      </c>
      <c r="B7" t="n">
        <v>-1.5</v>
      </c>
      <c r="C7" t="n">
        <v>35505</v>
      </c>
      <c r="D7" t="n">
        <v>34965</v>
      </c>
      <c r="E7" t="n">
        <v>34434</v>
      </c>
      <c r="F7" t="n">
        <v>33910</v>
      </c>
      <c r="G7" t="n">
        <v>33395</v>
      </c>
      <c r="H7" t="n">
        <v>32887</v>
      </c>
    </row>
    <row r="8">
      <c r="A8" t="inlineStr">
        <is>
          <t>Chupaca</t>
        </is>
      </c>
      <c r="B8" t="n">
        <v>0.5</v>
      </c>
      <c r="C8" t="n">
        <v>59563</v>
      </c>
      <c r="D8" t="n">
        <v>59871</v>
      </c>
      <c r="E8" t="n">
        <v>60181</v>
      </c>
      <c r="F8" t="n">
        <v>60492</v>
      </c>
      <c r="G8" t="n">
        <v>60805</v>
      </c>
      <c r="H8" t="n">
        <v>61120</v>
      </c>
    </row>
    <row r="9">
      <c r="A9" t="inlineStr">
        <is>
          <t>Tayacaja</t>
        </is>
      </c>
      <c r="B9" t="n">
        <v>-1.6</v>
      </c>
      <c r="C9" t="n">
        <v>75599</v>
      </c>
      <c r="D9" t="n">
        <v>74426</v>
      </c>
      <c r="E9" t="n">
        <v>73272</v>
      </c>
      <c r="F9" t="n">
        <v>72135</v>
      </c>
      <c r="G9" t="n">
        <v>71016</v>
      </c>
      <c r="H9" t="n">
        <v>69915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CATEGORIA</t>
        </is>
      </c>
      <c r="B1" t="inlineStr">
        <is>
          <t>CANTIDAD_JUECES</t>
        </is>
      </c>
      <c r="C1" t="inlineStr">
        <is>
          <t>PROY_POB_2026</t>
        </is>
      </c>
      <c r="D1" t="inlineStr">
        <is>
          <t>JUECES_POR_100K</t>
        </is>
      </c>
    </row>
    <row r="2">
      <c r="A2" t="inlineStr">
        <is>
          <t>A NIVEL NACIONAL (1)</t>
        </is>
      </c>
      <c r="B2" t="n">
        <v>3776</v>
      </c>
      <c r="C2" t="n">
        <v>34038457</v>
      </c>
      <c r="D2" t="n">
        <v>11</v>
      </c>
    </row>
    <row r="3">
      <c r="A3" t="inlineStr">
        <is>
          <t>DISTRITO JUDICIAL DE JUNÍN (2)</t>
        </is>
      </c>
      <c r="B3" t="n">
        <v>119</v>
      </c>
      <c r="C3" t="n">
        <v>1044954</v>
      </c>
      <c r="D3" t="n">
        <v>11</v>
      </c>
    </row>
    <row r="4">
      <c r="A4" t="inlineStr">
        <is>
          <t>Huancayo (3)</t>
        </is>
      </c>
      <c r="B4" t="n">
        <v>78</v>
      </c>
      <c r="C4" t="n">
        <v>630005</v>
      </c>
      <c r="D4" t="n">
        <v>12</v>
      </c>
    </row>
    <row r="5">
      <c r="A5" t="inlineStr">
        <is>
          <t>Concepción</t>
        </is>
      </c>
      <c r="B5" t="n">
        <v>4</v>
      </c>
      <c r="C5" t="n">
        <v>57682</v>
      </c>
      <c r="D5" t="n">
        <v>4</v>
      </c>
    </row>
    <row r="6">
      <c r="A6" t="inlineStr">
        <is>
          <t>Jauja</t>
        </is>
      </c>
      <c r="B6" t="n">
        <v>7</v>
      </c>
      <c r="C6" t="n">
        <v>85233</v>
      </c>
      <c r="D6" t="n">
        <v>7</v>
      </c>
    </row>
    <row r="7">
      <c r="A7" t="inlineStr">
        <is>
          <t>Junín</t>
        </is>
      </c>
      <c r="B7" t="n">
        <v>4</v>
      </c>
      <c r="C7" t="n">
        <v>19472</v>
      </c>
      <c r="D7" t="n">
        <v>4</v>
      </c>
    </row>
    <row r="8">
      <c r="A8" t="inlineStr">
        <is>
          <t>Tarma</t>
        </is>
      </c>
      <c r="B8" t="n">
        <v>12</v>
      </c>
      <c r="C8" t="n">
        <v>81895</v>
      </c>
      <c r="D8" t="n">
        <v>12</v>
      </c>
    </row>
    <row r="9">
      <c r="A9" t="inlineStr">
        <is>
          <t>Yauli</t>
        </is>
      </c>
      <c r="B9" t="n">
        <v>4</v>
      </c>
      <c r="C9" t="n">
        <v>35505</v>
      </c>
      <c r="D9" t="n">
        <v>4</v>
      </c>
    </row>
    <row r="10">
      <c r="A10" t="inlineStr">
        <is>
          <t>Chupaca</t>
        </is>
      </c>
      <c r="B10" t="n">
        <v>5</v>
      </c>
      <c r="C10" t="n">
        <v>59563</v>
      </c>
      <c r="D10" t="n">
        <v>5</v>
      </c>
    </row>
    <row r="11">
      <c r="A11" t="inlineStr">
        <is>
          <t>Tayacaja - Dpto. Huancavelica*</t>
        </is>
      </c>
      <c r="B11" t="n">
        <v>5</v>
      </c>
      <c r="C11" t="n">
        <v>75599</v>
      </c>
      <c r="D11" t="n">
        <v>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Regimen</t>
        </is>
      </c>
      <c r="B1" t="inlineStr">
        <is>
          <t>Cantidad</t>
        </is>
      </c>
    </row>
    <row r="2">
      <c r="A2" t="inlineStr">
        <is>
          <t>LEY 29277</t>
        </is>
      </c>
      <c r="B2" t="n">
        <v>121</v>
      </c>
    </row>
    <row r="3">
      <c r="A3" t="inlineStr">
        <is>
          <t>728</t>
        </is>
      </c>
      <c r="B3" t="n">
        <v>482</v>
      </c>
    </row>
    <row r="4">
      <c r="A4" t="inlineStr">
        <is>
          <t>276</t>
        </is>
      </c>
      <c r="B4" t="n">
        <v>3</v>
      </c>
    </row>
    <row r="5">
      <c r="A5" t="inlineStr">
        <is>
          <t>CAS</t>
        </is>
      </c>
      <c r="B5" t="n">
        <v>331</v>
      </c>
    </row>
    <row r="6">
      <c r="A6" t="inlineStr">
        <is>
          <t>RECAS</t>
        </is>
      </c>
      <c r="B6" t="n">
        <v>137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CARGO</t>
        </is>
      </c>
      <c r="B1" t="inlineStr">
        <is>
          <t>LEY 29277</t>
        </is>
      </c>
      <c r="C1" t="inlineStr">
        <is>
          <t>728</t>
        </is>
      </c>
      <c r="D1" t="inlineStr">
        <is>
          <t>276</t>
        </is>
      </c>
      <c r="E1" t="inlineStr">
        <is>
          <t>CAS</t>
        </is>
      </c>
      <c r="F1" t="inlineStr">
        <is>
          <t>RECAS</t>
        </is>
      </c>
      <c r="G1" t="inlineStr">
        <is>
          <t>Total</t>
        </is>
      </c>
    </row>
    <row r="2">
      <c r="A2" t="inlineStr">
        <is>
          <t>ADMINISTRADOR</t>
        </is>
      </c>
      <c r="B2" t="n">
        <v>0</v>
      </c>
      <c r="C2" t="n">
        <v>4</v>
      </c>
      <c r="D2" t="n">
        <v>0</v>
      </c>
      <c r="E2" t="n">
        <v>0</v>
      </c>
      <c r="F2" t="n">
        <v>0</v>
      </c>
      <c r="G2" t="n">
        <v>4</v>
      </c>
    </row>
    <row r="3">
      <c r="A3" t="inlineStr">
        <is>
          <t>ADMINISTRADOR DE CORTE SUPERIOR</t>
        </is>
      </c>
      <c r="B3" t="n">
        <v>0</v>
      </c>
      <c r="C3" t="n">
        <v>1</v>
      </c>
      <c r="D3" t="n">
        <v>0</v>
      </c>
      <c r="E3" t="n">
        <v>0</v>
      </c>
      <c r="F3" t="n">
        <v>0</v>
      </c>
      <c r="G3" t="n">
        <v>1</v>
      </c>
    </row>
    <row r="4">
      <c r="A4" t="inlineStr">
        <is>
          <t>ADMINISTRADOR DE MODULO</t>
        </is>
      </c>
      <c r="B4" t="n">
        <v>0</v>
      </c>
      <c r="C4" t="n">
        <v>0</v>
      </c>
      <c r="D4" t="n">
        <v>0</v>
      </c>
      <c r="E4" t="n">
        <v>2</v>
      </c>
      <c r="F4" t="n">
        <v>0</v>
      </c>
      <c r="G4" t="n">
        <v>2</v>
      </c>
    </row>
    <row r="5">
      <c r="A5" t="inlineStr">
        <is>
          <t>ADMINISTRADOR I</t>
        </is>
      </c>
      <c r="B5" t="n">
        <v>0</v>
      </c>
      <c r="C5" t="n">
        <v>1</v>
      </c>
      <c r="D5" t="n">
        <v>0</v>
      </c>
      <c r="E5" t="n">
        <v>0</v>
      </c>
      <c r="F5" t="n">
        <v>0</v>
      </c>
      <c r="G5" t="n">
        <v>1</v>
      </c>
    </row>
    <row r="6">
      <c r="A6" t="inlineStr">
        <is>
          <t>ADMINISTRADOR MÓDULO DEL NUEVO CÓDIGO PROCESAL PENAL</t>
        </is>
      </c>
      <c r="B6" t="n">
        <v>0</v>
      </c>
      <c r="C6" t="n">
        <v>1</v>
      </c>
      <c r="D6" t="n">
        <v>0</v>
      </c>
      <c r="E6" t="n">
        <v>0</v>
      </c>
      <c r="F6" t="n">
        <v>0</v>
      </c>
      <c r="G6" t="n">
        <v>1</v>
      </c>
    </row>
    <row r="7">
      <c r="A7" t="inlineStr">
        <is>
          <t>AGENTE DE  SEGURIDAD</t>
        </is>
      </c>
      <c r="B7" t="n">
        <v>0</v>
      </c>
      <c r="C7" t="n">
        <v>0</v>
      </c>
      <c r="D7" t="n">
        <v>0</v>
      </c>
      <c r="E7" t="n">
        <v>7</v>
      </c>
      <c r="F7" t="n">
        <v>0</v>
      </c>
      <c r="G7" t="n">
        <v>7</v>
      </c>
    </row>
    <row r="8">
      <c r="A8" t="inlineStr">
        <is>
          <t>ANALISTA</t>
        </is>
      </c>
      <c r="B8" t="n">
        <v>0</v>
      </c>
      <c r="C8" t="n">
        <v>0</v>
      </c>
      <c r="D8" t="n">
        <v>0</v>
      </c>
      <c r="E8" t="n">
        <v>1</v>
      </c>
      <c r="F8" t="n">
        <v>1</v>
      </c>
      <c r="G8" t="n">
        <v>2</v>
      </c>
    </row>
    <row r="9">
      <c r="A9" t="inlineStr">
        <is>
          <t>ANALISTA ADMINISTRATIVO/A</t>
        </is>
      </c>
      <c r="B9" t="n">
        <v>0</v>
      </c>
      <c r="C9" t="n">
        <v>0</v>
      </c>
      <c r="D9" t="n">
        <v>0</v>
      </c>
      <c r="E9" t="n">
        <v>2</v>
      </c>
      <c r="F9" t="n">
        <v>0</v>
      </c>
      <c r="G9" t="n">
        <v>2</v>
      </c>
    </row>
    <row r="10">
      <c r="A10" t="inlineStr">
        <is>
          <t>ANALISTA DE INFORMATICA</t>
        </is>
      </c>
      <c r="B10" t="n">
        <v>0</v>
      </c>
      <c r="C10" t="n">
        <v>0</v>
      </c>
      <c r="D10" t="n">
        <v>0</v>
      </c>
      <c r="E10" t="n">
        <v>1</v>
      </c>
      <c r="F10" t="n">
        <v>0</v>
      </c>
      <c r="G10" t="n">
        <v>1</v>
      </c>
    </row>
    <row r="11">
      <c r="A11" t="inlineStr">
        <is>
          <t>ANALISTA DE INFORMATICA - DESARROLLADOR</t>
        </is>
      </c>
      <c r="B11" t="n">
        <v>0</v>
      </c>
      <c r="C11" t="n">
        <v>0</v>
      </c>
      <c r="D11" t="n">
        <v>0</v>
      </c>
      <c r="E11" t="n">
        <v>1</v>
      </c>
      <c r="F11" t="n">
        <v>0</v>
      </c>
      <c r="G11" t="n">
        <v>1</v>
      </c>
    </row>
    <row r="12">
      <c r="A12" t="inlineStr">
        <is>
          <t>ANALISTA I</t>
        </is>
      </c>
      <c r="B12" t="n">
        <v>0</v>
      </c>
      <c r="C12" t="n">
        <v>1</v>
      </c>
      <c r="D12" t="n">
        <v>0</v>
      </c>
      <c r="E12" t="n">
        <v>0</v>
      </c>
      <c r="F12" t="n">
        <v>1</v>
      </c>
      <c r="G12" t="n">
        <v>2</v>
      </c>
    </row>
    <row r="13">
      <c r="A13" t="inlineStr">
        <is>
          <t>ANALISTA II</t>
        </is>
      </c>
      <c r="B13" t="n">
        <v>0</v>
      </c>
      <c r="C13" t="n">
        <v>7</v>
      </c>
      <c r="D13" t="n">
        <v>0</v>
      </c>
      <c r="E13" t="n">
        <v>0</v>
      </c>
      <c r="F13" t="n">
        <v>0</v>
      </c>
      <c r="G13" t="n">
        <v>7</v>
      </c>
    </row>
    <row r="14">
      <c r="A14" t="inlineStr">
        <is>
          <t>APOYO ADMINISTRATIVO</t>
        </is>
      </c>
      <c r="B14" t="n">
        <v>0</v>
      </c>
      <c r="C14" t="n">
        <v>0</v>
      </c>
      <c r="D14" t="n">
        <v>0</v>
      </c>
      <c r="E14" t="n">
        <v>3</v>
      </c>
      <c r="F14" t="n">
        <v>1</v>
      </c>
      <c r="G14" t="n">
        <v>4</v>
      </c>
    </row>
    <row r="15">
      <c r="A15" t="inlineStr">
        <is>
          <t>APOYO ADMINISTRATIVO EN EL ARCHIVO DESCENTRALIZADO DE TARMA Y OTRAS ACTIVIDADES ADMINISTRATIVAS</t>
        </is>
      </c>
      <c r="B15" t="n">
        <v>0</v>
      </c>
      <c r="C15" t="n">
        <v>0</v>
      </c>
      <c r="D15" t="n">
        <v>0</v>
      </c>
      <c r="E15" t="n">
        <v>0</v>
      </c>
      <c r="F15" t="n">
        <v>1</v>
      </c>
      <c r="G15" t="n">
        <v>1</v>
      </c>
    </row>
    <row r="16">
      <c r="A16" t="inlineStr">
        <is>
          <t>APOYO ADMINISTRATIVO EN EL AREA DE NOTIFICACIONES</t>
        </is>
      </c>
      <c r="B16" t="n">
        <v>0</v>
      </c>
      <c r="C16" t="n">
        <v>0</v>
      </c>
      <c r="D16" t="n">
        <v>0</v>
      </c>
      <c r="E16" t="n">
        <v>0</v>
      </c>
      <c r="F16" t="n">
        <v>1</v>
      </c>
      <c r="G16" t="n">
        <v>1</v>
      </c>
    </row>
    <row r="17">
      <c r="A17" t="inlineStr">
        <is>
          <t>APOYO ADMINISTRATIVO EN LAS AREAS DE NOTIFICACIONES</t>
        </is>
      </c>
      <c r="B17" t="n">
        <v>0</v>
      </c>
      <c r="C17" t="n">
        <v>0</v>
      </c>
      <c r="D17" t="n">
        <v>0</v>
      </c>
      <c r="E17" t="n">
        <v>0</v>
      </c>
      <c r="F17" t="n">
        <v>3</v>
      </c>
      <c r="G17" t="n">
        <v>3</v>
      </c>
    </row>
    <row r="18">
      <c r="A18" t="inlineStr">
        <is>
          <t>APOYO EN ACTIVIDADES ADMINISTRATIVAS</t>
        </is>
      </c>
      <c r="B18" t="n">
        <v>0</v>
      </c>
      <c r="C18" t="n">
        <v>0</v>
      </c>
      <c r="D18" t="n">
        <v>0</v>
      </c>
      <c r="E18" t="n">
        <v>1</v>
      </c>
      <c r="F18" t="n">
        <v>0</v>
      </c>
      <c r="G18" t="n">
        <v>1</v>
      </c>
    </row>
    <row r="19">
      <c r="A19" t="inlineStr">
        <is>
          <t>APOYO EN CONTRATACIONES CON EL ESTADO</t>
        </is>
      </c>
      <c r="B19" t="n">
        <v>0</v>
      </c>
      <c r="C19" t="n">
        <v>0</v>
      </c>
      <c r="D19" t="n">
        <v>0</v>
      </c>
      <c r="E19" t="n">
        <v>0</v>
      </c>
      <c r="F19" t="n">
        <v>1</v>
      </c>
      <c r="G19" t="n">
        <v>1</v>
      </c>
    </row>
    <row r="20">
      <c r="A20" t="inlineStr">
        <is>
          <t>APOYO EN EL DESARROLLO DE FUNCIONES DEL EQUIPO ITINERANTE</t>
        </is>
      </c>
      <c r="B20" t="n">
        <v>0</v>
      </c>
      <c r="C20" t="n">
        <v>0</v>
      </c>
      <c r="D20" t="n">
        <v>0</v>
      </c>
      <c r="E20" t="n">
        <v>0</v>
      </c>
      <c r="F20" t="n">
        <v>3</v>
      </c>
      <c r="G20" t="n">
        <v>3</v>
      </c>
    </row>
    <row r="21">
      <c r="A21" t="inlineStr">
        <is>
          <t>APOYO EN INFORMES PSICOLOGICOS</t>
        </is>
      </c>
      <c r="B21" t="n">
        <v>0</v>
      </c>
      <c r="C21" t="n">
        <v>0</v>
      </c>
      <c r="D21" t="n">
        <v>0</v>
      </c>
      <c r="E21" t="n">
        <v>0</v>
      </c>
      <c r="F21" t="n">
        <v>1</v>
      </c>
      <c r="G21" t="n">
        <v>1</v>
      </c>
    </row>
    <row r="22">
      <c r="A22" t="inlineStr">
        <is>
          <t>APOYO EN LA PREPARACION DE ALIMENTOS EN EL WAWA WASI INSTITUCIONAL</t>
        </is>
      </c>
      <c r="B22" t="n">
        <v>0</v>
      </c>
      <c r="C22" t="n">
        <v>0</v>
      </c>
      <c r="D22" t="n">
        <v>0</v>
      </c>
      <c r="E22" t="n">
        <v>0</v>
      </c>
      <c r="F22" t="n">
        <v>1</v>
      </c>
      <c r="G22" t="n">
        <v>1</v>
      </c>
    </row>
    <row r="23">
      <c r="A23" t="inlineStr">
        <is>
          <t>APOYO EN PERICIAS CONTABLES JUDICIALES</t>
        </is>
      </c>
      <c r="B23" t="n">
        <v>0</v>
      </c>
      <c r="C23" t="n">
        <v>0</v>
      </c>
      <c r="D23" t="n">
        <v>0</v>
      </c>
      <c r="E23" t="n">
        <v>1</v>
      </c>
      <c r="F23" t="n">
        <v>1</v>
      </c>
      <c r="G23" t="n">
        <v>2</v>
      </c>
    </row>
    <row r="24">
      <c r="A24" t="inlineStr">
        <is>
          <t>APOYO JURISDICCIONAL</t>
        </is>
      </c>
      <c r="B24" t="n">
        <v>0</v>
      </c>
      <c r="C24" t="n">
        <v>0</v>
      </c>
      <c r="D24" t="n">
        <v>0</v>
      </c>
      <c r="E24" t="n">
        <v>0</v>
      </c>
      <c r="F24" t="n">
        <v>2</v>
      </c>
      <c r="G24" t="n">
        <v>2</v>
      </c>
    </row>
    <row r="25">
      <c r="A25" t="inlineStr">
        <is>
          <t>ASESOR DE CORTE</t>
        </is>
      </c>
      <c r="B25" t="n">
        <v>0</v>
      </c>
      <c r="C25" t="n">
        <v>1</v>
      </c>
      <c r="D25" t="n">
        <v>0</v>
      </c>
      <c r="E25" t="n">
        <v>0</v>
      </c>
      <c r="F25" t="n">
        <v>0</v>
      </c>
      <c r="G25" t="n">
        <v>1</v>
      </c>
    </row>
    <row r="26">
      <c r="A26" t="inlineStr">
        <is>
          <t>ASISTENTE ADMINISTRATIVO</t>
        </is>
      </c>
      <c r="B26" t="n">
        <v>0</v>
      </c>
      <c r="C26" t="n">
        <v>0</v>
      </c>
      <c r="D26" t="n">
        <v>0</v>
      </c>
      <c r="E26" t="n">
        <v>6</v>
      </c>
      <c r="F26" t="n">
        <v>1</v>
      </c>
      <c r="G26" t="n">
        <v>7</v>
      </c>
    </row>
    <row r="27">
      <c r="A27" t="inlineStr">
        <is>
          <t>ASISTENTE ADMINISTRATIVO I</t>
        </is>
      </c>
      <c r="B27" t="n">
        <v>0</v>
      </c>
      <c r="C27" t="n">
        <v>14</v>
      </c>
      <c r="D27" t="n">
        <v>0</v>
      </c>
      <c r="E27" t="n">
        <v>4</v>
      </c>
      <c r="F27" t="n">
        <v>0</v>
      </c>
      <c r="G27" t="n">
        <v>18</v>
      </c>
    </row>
    <row r="28">
      <c r="A28" t="inlineStr">
        <is>
          <t>ASISTENTE ADMINISTRATIVO I MODULO</t>
        </is>
      </c>
      <c r="B28" t="n">
        <v>0</v>
      </c>
      <c r="C28" t="n">
        <v>0</v>
      </c>
      <c r="D28" t="n">
        <v>0</v>
      </c>
      <c r="E28" t="n">
        <v>4</v>
      </c>
      <c r="F28" t="n">
        <v>0</v>
      </c>
      <c r="G28" t="n">
        <v>4</v>
      </c>
    </row>
    <row r="29">
      <c r="A29" t="inlineStr">
        <is>
          <t>ASISTENTE ADMINISTRATIVO II</t>
        </is>
      </c>
      <c r="B29" t="n">
        <v>0</v>
      </c>
      <c r="C29" t="n">
        <v>18</v>
      </c>
      <c r="D29" t="n">
        <v>0</v>
      </c>
      <c r="E29" t="n">
        <v>1</v>
      </c>
      <c r="F29" t="n">
        <v>0</v>
      </c>
      <c r="G29" t="n">
        <v>19</v>
      </c>
    </row>
    <row r="30">
      <c r="A30" t="inlineStr">
        <is>
          <t>ASISTENTE DE ATENCION AL PUBLICO</t>
        </is>
      </c>
      <c r="B30" t="n">
        <v>0</v>
      </c>
      <c r="C30" t="n">
        <v>0</v>
      </c>
      <c r="D30" t="n">
        <v>0</v>
      </c>
      <c r="E30" t="n">
        <v>1</v>
      </c>
      <c r="F30" t="n">
        <v>0</v>
      </c>
      <c r="G30" t="n">
        <v>1</v>
      </c>
    </row>
    <row r="31">
      <c r="A31" t="inlineStr">
        <is>
          <t>ASISTENTE DE ATENCIÓN AL PÚBLICO</t>
        </is>
      </c>
      <c r="B31" t="n">
        <v>0</v>
      </c>
      <c r="C31" t="n">
        <v>0</v>
      </c>
      <c r="D31" t="n">
        <v>0</v>
      </c>
      <c r="E31" t="n">
        <v>4</v>
      </c>
      <c r="F31" t="n">
        <v>0</v>
      </c>
      <c r="G31" t="n">
        <v>4</v>
      </c>
    </row>
    <row r="32">
      <c r="A32" t="inlineStr">
        <is>
          <t>ASISTENTE DE COMUNICACIONES</t>
        </is>
      </c>
      <c r="B32" t="n">
        <v>0</v>
      </c>
      <c r="C32" t="n">
        <v>0</v>
      </c>
      <c r="D32" t="n">
        <v>0</v>
      </c>
      <c r="E32" t="n">
        <v>15</v>
      </c>
      <c r="F32" t="n">
        <v>2</v>
      </c>
      <c r="G32" t="n">
        <v>17</v>
      </c>
    </row>
    <row r="33">
      <c r="A33" t="inlineStr">
        <is>
          <t>ASISTENTE DE CUSTODIA Y GRABACION</t>
        </is>
      </c>
      <c r="B33" t="n">
        <v>0</v>
      </c>
      <c r="C33" t="n">
        <v>0</v>
      </c>
      <c r="D33" t="n">
        <v>0</v>
      </c>
      <c r="E33" t="n">
        <v>2</v>
      </c>
      <c r="F33" t="n">
        <v>1</v>
      </c>
      <c r="G33" t="n">
        <v>3</v>
      </c>
    </row>
    <row r="34">
      <c r="A34" t="inlineStr">
        <is>
          <t>ASISTENTE DE CUSTODIA Y GRABACIÓN</t>
        </is>
      </c>
      <c r="B34" t="n">
        <v>0</v>
      </c>
      <c r="C34" t="n">
        <v>0</v>
      </c>
      <c r="D34" t="n">
        <v>0</v>
      </c>
      <c r="E34" t="n">
        <v>4</v>
      </c>
      <c r="F34" t="n">
        <v>0</v>
      </c>
      <c r="G34" t="n">
        <v>4</v>
      </c>
    </row>
    <row r="35">
      <c r="A35" t="inlineStr">
        <is>
          <t>ASISTENTE DE INFORMÁTICA</t>
        </is>
      </c>
      <c r="B35" t="n">
        <v>0</v>
      </c>
      <c r="C35" t="n">
        <v>0</v>
      </c>
      <c r="D35" t="n">
        <v>0</v>
      </c>
      <c r="E35" t="n">
        <v>4</v>
      </c>
      <c r="F35" t="n">
        <v>0</v>
      </c>
      <c r="G35" t="n">
        <v>4</v>
      </c>
    </row>
    <row r="36">
      <c r="A36" t="inlineStr">
        <is>
          <t>ASISTENTE DE SISTEMAS</t>
        </is>
      </c>
      <c r="B36" t="n">
        <v>0</v>
      </c>
      <c r="C36" t="n">
        <v>2</v>
      </c>
      <c r="D36" t="n">
        <v>0</v>
      </c>
      <c r="E36" t="n">
        <v>1</v>
      </c>
      <c r="F36" t="n">
        <v>0</v>
      </c>
      <c r="G36" t="n">
        <v>3</v>
      </c>
    </row>
    <row r="37">
      <c r="A37" t="inlineStr">
        <is>
          <t>ASISTENTE EN INFORMATICA</t>
        </is>
      </c>
      <c r="B37" t="n">
        <v>0</v>
      </c>
      <c r="C37" t="n">
        <v>0</v>
      </c>
      <c r="D37" t="n">
        <v>0</v>
      </c>
      <c r="E37" t="n">
        <v>0</v>
      </c>
      <c r="F37" t="n">
        <v>1</v>
      </c>
      <c r="G37" t="n">
        <v>1</v>
      </c>
    </row>
    <row r="38">
      <c r="A38" t="inlineStr">
        <is>
          <t>ASISTENTE EN SERVICIOS ADMINISTRATIVOS</t>
        </is>
      </c>
      <c r="B38" t="n">
        <v>0</v>
      </c>
      <c r="C38" t="n">
        <v>5</v>
      </c>
      <c r="D38" t="n">
        <v>0</v>
      </c>
      <c r="E38" t="n">
        <v>1</v>
      </c>
      <c r="F38" t="n">
        <v>0</v>
      </c>
      <c r="G38" t="n">
        <v>6</v>
      </c>
    </row>
    <row r="39">
      <c r="A39" t="inlineStr">
        <is>
          <t>ASISTENTE EN SERVICIOS DE COMUNICACIONES</t>
        </is>
      </c>
      <c r="B39" t="n">
        <v>0</v>
      </c>
      <c r="C39" t="n">
        <v>13</v>
      </c>
      <c r="D39" t="n">
        <v>0</v>
      </c>
      <c r="E39" t="n">
        <v>0</v>
      </c>
      <c r="F39" t="n">
        <v>0</v>
      </c>
      <c r="G39" t="n">
        <v>13</v>
      </c>
    </row>
    <row r="40">
      <c r="A40" t="inlineStr">
        <is>
          <t>ASISTENTE INFORMÁTICO</t>
        </is>
      </c>
      <c r="B40" t="n">
        <v>0</v>
      </c>
      <c r="C40" t="n">
        <v>0</v>
      </c>
      <c r="D40" t="n">
        <v>0</v>
      </c>
      <c r="E40" t="n">
        <v>3</v>
      </c>
      <c r="F40" t="n">
        <v>0</v>
      </c>
      <c r="G40" t="n">
        <v>3</v>
      </c>
    </row>
    <row r="41">
      <c r="A41" t="inlineStr">
        <is>
          <t>ASISTENTE JUDICIAL</t>
        </is>
      </c>
      <c r="B41" t="n">
        <v>0</v>
      </c>
      <c r="C41" t="n">
        <v>55</v>
      </c>
      <c r="D41" t="n">
        <v>0</v>
      </c>
      <c r="E41" t="n">
        <v>20</v>
      </c>
      <c r="F41" t="n">
        <v>2</v>
      </c>
      <c r="G41" t="n">
        <v>77</v>
      </c>
    </row>
    <row r="42">
      <c r="A42" t="inlineStr">
        <is>
          <t>ASISTENTE JUDICIAL - PENAL</t>
        </is>
      </c>
      <c r="B42" t="n">
        <v>0</v>
      </c>
      <c r="C42" t="n">
        <v>0</v>
      </c>
      <c r="D42" t="n">
        <v>0</v>
      </c>
      <c r="E42" t="n">
        <v>6</v>
      </c>
      <c r="F42" t="n">
        <v>0</v>
      </c>
      <c r="G42" t="n">
        <v>6</v>
      </c>
    </row>
    <row r="43">
      <c r="A43" t="inlineStr">
        <is>
          <t>ASISTENTE JUDICIAL - PROTECCIÓN</t>
        </is>
      </c>
      <c r="B43" t="n">
        <v>0</v>
      </c>
      <c r="C43" t="n">
        <v>0</v>
      </c>
      <c r="D43" t="n">
        <v>0</v>
      </c>
      <c r="E43" t="n">
        <v>11</v>
      </c>
      <c r="F43" t="n">
        <v>0</v>
      </c>
      <c r="G43" t="n">
        <v>11</v>
      </c>
    </row>
    <row r="44">
      <c r="A44" t="inlineStr">
        <is>
          <t>ASISTENTE JURISDICCIONAL</t>
        </is>
      </c>
      <c r="B44" t="n">
        <v>0</v>
      </c>
      <c r="C44" t="n">
        <v>13</v>
      </c>
      <c r="D44" t="n">
        <v>0</v>
      </c>
      <c r="E44" t="n">
        <v>20</v>
      </c>
      <c r="F44" t="n">
        <v>2</v>
      </c>
      <c r="G44" t="n">
        <v>35</v>
      </c>
    </row>
    <row r="45">
      <c r="A45" t="inlineStr">
        <is>
          <t>ASISTENTE JURISDICCIONAL DE CUSTODIA DE EXPEDIENTES</t>
        </is>
      </c>
      <c r="B45" t="n">
        <v>0</v>
      </c>
      <c r="C45" t="n">
        <v>3</v>
      </c>
      <c r="D45" t="n">
        <v>0</v>
      </c>
      <c r="E45" t="n">
        <v>0</v>
      </c>
      <c r="F45" t="n">
        <v>0</v>
      </c>
      <c r="G45" t="n">
        <v>3</v>
      </c>
    </row>
    <row r="46">
      <c r="A46" t="inlineStr">
        <is>
          <t>ASISTENTE JURISDICCIONAL DE JUZGADO</t>
        </is>
      </c>
      <c r="B46" t="n">
        <v>0</v>
      </c>
      <c r="C46" t="n">
        <v>0</v>
      </c>
      <c r="D46" t="n">
        <v>0</v>
      </c>
      <c r="E46" t="n">
        <v>22</v>
      </c>
      <c r="F46" t="n">
        <v>12</v>
      </c>
      <c r="G46" t="n">
        <v>34</v>
      </c>
    </row>
    <row r="47">
      <c r="A47" t="inlineStr">
        <is>
          <t>ASISTENTE JURISDICCIONAL ITINERANTE</t>
        </is>
      </c>
      <c r="B47" t="n">
        <v>0</v>
      </c>
      <c r="C47" t="n">
        <v>0</v>
      </c>
      <c r="D47" t="n">
        <v>0</v>
      </c>
      <c r="E47" t="n">
        <v>0</v>
      </c>
      <c r="F47" t="n">
        <v>2</v>
      </c>
      <c r="G47" t="n">
        <v>2</v>
      </c>
    </row>
    <row r="48">
      <c r="A48" t="inlineStr">
        <is>
          <t>ASISTENTE LEGAL</t>
        </is>
      </c>
      <c r="B48" t="n">
        <v>0</v>
      </c>
      <c r="C48" t="n">
        <v>0</v>
      </c>
      <c r="D48" t="n">
        <v>0</v>
      </c>
      <c r="E48" t="n">
        <v>9</v>
      </c>
      <c r="F48" t="n">
        <v>0</v>
      </c>
      <c r="G48" t="n">
        <v>9</v>
      </c>
    </row>
    <row r="49">
      <c r="A49" t="inlineStr">
        <is>
          <t>ASISTENTE LEGAL DE JUZGADO</t>
        </is>
      </c>
      <c r="B49" t="n">
        <v>0</v>
      </c>
      <c r="C49" t="n">
        <v>0</v>
      </c>
      <c r="D49" t="n">
        <v>0</v>
      </c>
      <c r="E49" t="n">
        <v>1</v>
      </c>
      <c r="F49" t="n">
        <v>0</v>
      </c>
      <c r="G49" t="n">
        <v>1</v>
      </c>
    </row>
    <row r="50">
      <c r="A50" t="inlineStr">
        <is>
          <t>ASISTENTE SOCIAL</t>
        </is>
      </c>
      <c r="B50" t="n">
        <v>0</v>
      </c>
      <c r="C50" t="n">
        <v>0</v>
      </c>
      <c r="D50" t="n">
        <v>0</v>
      </c>
      <c r="E50" t="n">
        <v>2</v>
      </c>
      <c r="F50" t="n">
        <v>1</v>
      </c>
      <c r="G50" t="n">
        <v>3</v>
      </c>
    </row>
    <row r="51">
      <c r="A51" t="inlineStr">
        <is>
          <t>AUXILIAR ADMINISTRATIVO</t>
        </is>
      </c>
      <c r="B51" t="n">
        <v>0</v>
      </c>
      <c r="C51" t="n">
        <v>0</v>
      </c>
      <c r="D51" t="n">
        <v>0</v>
      </c>
      <c r="E51" t="n">
        <v>3</v>
      </c>
      <c r="F51" t="n">
        <v>0</v>
      </c>
      <c r="G51" t="n">
        <v>3</v>
      </c>
    </row>
    <row r="52">
      <c r="A52" t="inlineStr">
        <is>
          <t>AUXILIAR ADMINISTRATIVO I</t>
        </is>
      </c>
      <c r="B52" t="n">
        <v>0</v>
      </c>
      <c r="C52" t="n">
        <v>44</v>
      </c>
      <c r="D52" t="n">
        <v>0</v>
      </c>
      <c r="E52" t="n">
        <v>0</v>
      </c>
      <c r="F52" t="n">
        <v>0</v>
      </c>
      <c r="G52" t="n">
        <v>44</v>
      </c>
    </row>
    <row r="53">
      <c r="A53" t="inlineStr">
        <is>
          <t>AUXILIAR ADMINISTRATIVO II</t>
        </is>
      </c>
      <c r="B53" t="n">
        <v>0</v>
      </c>
      <c r="C53" t="n">
        <v>6</v>
      </c>
      <c r="D53" t="n">
        <v>0</v>
      </c>
      <c r="E53" t="n">
        <v>0</v>
      </c>
      <c r="F53" t="n">
        <v>0</v>
      </c>
      <c r="G53" t="n">
        <v>6</v>
      </c>
    </row>
    <row r="54">
      <c r="A54" t="inlineStr">
        <is>
          <t>AUXILIAR EN VIGILANCIA Y CONTROL</t>
        </is>
      </c>
      <c r="B54" t="n">
        <v>0</v>
      </c>
      <c r="C54" t="n">
        <v>0</v>
      </c>
      <c r="D54" t="n">
        <v>0</v>
      </c>
      <c r="E54" t="n">
        <v>6</v>
      </c>
      <c r="F54" t="n">
        <v>0</v>
      </c>
      <c r="G54" t="n">
        <v>6</v>
      </c>
    </row>
    <row r="55">
      <c r="A55" t="inlineStr">
        <is>
          <t>AUXILIAR JUDICIAL</t>
        </is>
      </c>
      <c r="B55" t="n">
        <v>0</v>
      </c>
      <c r="C55" t="n">
        <v>37</v>
      </c>
      <c r="D55" t="n">
        <v>0</v>
      </c>
      <c r="E55" t="n">
        <v>10</v>
      </c>
      <c r="F55" t="n">
        <v>0</v>
      </c>
      <c r="G55" t="n">
        <v>47</v>
      </c>
    </row>
    <row r="56">
      <c r="A56" t="inlineStr">
        <is>
          <t>AUXILIAR JUDICIAL - PROTECCIÓN</t>
        </is>
      </c>
      <c r="B56" t="n">
        <v>0</v>
      </c>
      <c r="C56" t="n">
        <v>0</v>
      </c>
      <c r="D56" t="n">
        <v>0</v>
      </c>
      <c r="E56" t="n">
        <v>5</v>
      </c>
      <c r="F56" t="n">
        <v>0</v>
      </c>
      <c r="G56" t="n">
        <v>5</v>
      </c>
    </row>
    <row r="57">
      <c r="A57" t="inlineStr">
        <is>
          <t>AUXILIAR JUDICIAL I</t>
        </is>
      </c>
      <c r="B57" t="n">
        <v>0</v>
      </c>
      <c r="C57" t="n">
        <v>0</v>
      </c>
      <c r="D57" t="n">
        <v>1</v>
      </c>
      <c r="E57" t="n">
        <v>0</v>
      </c>
      <c r="F57" t="n">
        <v>0</v>
      </c>
      <c r="G57" t="n">
        <v>1</v>
      </c>
    </row>
    <row r="58">
      <c r="A58" t="inlineStr">
        <is>
          <t>AUXILIAR JURISDICCIONAL ITINERANTE</t>
        </is>
      </c>
      <c r="B58" t="n">
        <v>0</v>
      </c>
      <c r="C58" t="n">
        <v>0</v>
      </c>
      <c r="D58" t="n">
        <v>0</v>
      </c>
      <c r="E58" t="n">
        <v>0</v>
      </c>
      <c r="F58" t="n">
        <v>1</v>
      </c>
      <c r="G58" t="n">
        <v>1</v>
      </c>
    </row>
    <row r="59">
      <c r="A59" t="inlineStr">
        <is>
          <t>AUXILIAR LEGAL</t>
        </is>
      </c>
      <c r="B59" t="n">
        <v>0</v>
      </c>
      <c r="C59" t="n">
        <v>0</v>
      </c>
      <c r="D59" t="n">
        <v>0</v>
      </c>
      <c r="E59" t="n">
        <v>1</v>
      </c>
      <c r="F59" t="n">
        <v>0</v>
      </c>
      <c r="G59" t="n">
        <v>1</v>
      </c>
    </row>
    <row r="60">
      <c r="A60" t="inlineStr">
        <is>
          <t>CAJERO</t>
        </is>
      </c>
      <c r="B60" t="n">
        <v>0</v>
      </c>
      <c r="C60" t="n">
        <v>1</v>
      </c>
      <c r="D60" t="n">
        <v>0</v>
      </c>
      <c r="E60" t="n">
        <v>0</v>
      </c>
      <c r="F60" t="n">
        <v>0</v>
      </c>
      <c r="G60" t="n">
        <v>1</v>
      </c>
    </row>
    <row r="61">
      <c r="A61" t="inlineStr">
        <is>
          <t>CHOFER</t>
        </is>
      </c>
      <c r="B61" t="n">
        <v>0</v>
      </c>
      <c r="C61" t="n">
        <v>0</v>
      </c>
      <c r="D61" t="n">
        <v>0</v>
      </c>
      <c r="E61" t="n">
        <v>2</v>
      </c>
      <c r="F61" t="n">
        <v>1</v>
      </c>
      <c r="G61" t="n">
        <v>3</v>
      </c>
    </row>
    <row r="62">
      <c r="A62" t="inlineStr">
        <is>
          <t>CHOFER I</t>
        </is>
      </c>
      <c r="B62" t="n">
        <v>0</v>
      </c>
      <c r="C62" t="n">
        <v>3</v>
      </c>
      <c r="D62" t="n">
        <v>0</v>
      </c>
      <c r="E62" t="n">
        <v>0</v>
      </c>
      <c r="F62" t="n">
        <v>0</v>
      </c>
      <c r="G62" t="n">
        <v>3</v>
      </c>
    </row>
    <row r="63">
      <c r="A63" t="inlineStr">
        <is>
          <t>CONDUCCION DE VEHICULO</t>
        </is>
      </c>
      <c r="B63" t="n">
        <v>0</v>
      </c>
      <c r="C63" t="n">
        <v>0</v>
      </c>
      <c r="D63" t="n">
        <v>0</v>
      </c>
      <c r="E63" t="n">
        <v>1</v>
      </c>
      <c r="F63" t="n">
        <v>4</v>
      </c>
      <c r="G63" t="n">
        <v>5</v>
      </c>
    </row>
    <row r="64">
      <c r="A64" t="inlineStr">
        <is>
          <t>CONDUCTOR DE VEHÍCULO</t>
        </is>
      </c>
      <c r="B64" t="n">
        <v>0</v>
      </c>
      <c r="C64" t="n">
        <v>0</v>
      </c>
      <c r="D64" t="n">
        <v>0</v>
      </c>
      <c r="E64" t="n">
        <v>1</v>
      </c>
      <c r="F64" t="n">
        <v>0</v>
      </c>
      <c r="G64" t="n">
        <v>1</v>
      </c>
    </row>
    <row r="65">
      <c r="A65" t="inlineStr">
        <is>
          <t>COORDINADOR(CSJ_UE)</t>
        </is>
      </c>
      <c r="B65" t="n">
        <v>0</v>
      </c>
      <c r="C65" t="n">
        <v>16</v>
      </c>
      <c r="D65" t="n">
        <v>0</v>
      </c>
      <c r="E65" t="n">
        <v>0</v>
      </c>
      <c r="F65" t="n">
        <v>0</v>
      </c>
      <c r="G65" t="n">
        <v>16</v>
      </c>
    </row>
    <row r="66">
      <c r="A66" t="inlineStr">
        <is>
          <t>COORDINADOR/A DE CAUSA/ AUDIENCIA</t>
        </is>
      </c>
      <c r="B66" t="n">
        <v>0</v>
      </c>
      <c r="C66" t="n">
        <v>0</v>
      </c>
      <c r="D66" t="n">
        <v>0</v>
      </c>
      <c r="E66" t="n">
        <v>3</v>
      </c>
      <c r="F66" t="n">
        <v>0</v>
      </c>
      <c r="G66" t="n">
        <v>3</v>
      </c>
    </row>
    <row r="67">
      <c r="A67" t="inlineStr">
        <is>
          <t>COORDINADOR/A I</t>
        </is>
      </c>
      <c r="B67" t="n">
        <v>0</v>
      </c>
      <c r="C67" t="n">
        <v>0</v>
      </c>
      <c r="D67" t="n">
        <v>0</v>
      </c>
      <c r="E67" t="n">
        <v>2</v>
      </c>
      <c r="F67" t="n">
        <v>0</v>
      </c>
      <c r="G67" t="n">
        <v>2</v>
      </c>
    </row>
    <row r="68">
      <c r="A68" t="inlineStr">
        <is>
          <t>EDUCADOR (A) DE APOYO AL EQUIPO MULTIDISCIPLINARIO</t>
        </is>
      </c>
      <c r="B68" t="n">
        <v>0</v>
      </c>
      <c r="C68" t="n">
        <v>0</v>
      </c>
      <c r="D68" t="n">
        <v>0</v>
      </c>
      <c r="E68" t="n">
        <v>0</v>
      </c>
      <c r="F68" t="n">
        <v>1</v>
      </c>
      <c r="G68" t="n">
        <v>1</v>
      </c>
    </row>
    <row r="69">
      <c r="A69" t="inlineStr">
        <is>
          <t>ESPECIALISTA EN CONTABILIDAD GUBERNAMENTAL</t>
        </is>
      </c>
      <c r="B69" t="n">
        <v>0</v>
      </c>
      <c r="C69" t="n">
        <v>0</v>
      </c>
      <c r="D69" t="n">
        <v>0</v>
      </c>
      <c r="E69" t="n">
        <v>0</v>
      </c>
      <c r="F69" t="n">
        <v>1</v>
      </c>
      <c r="G69" t="n">
        <v>1</v>
      </c>
    </row>
    <row r="70">
      <c r="A70" t="inlineStr">
        <is>
          <t>ESPECIALISTA JUDICIAL DE AUDIENCIA</t>
        </is>
      </c>
      <c r="B70" t="n">
        <v>0</v>
      </c>
      <c r="C70" t="n">
        <v>19</v>
      </c>
      <c r="D70" t="n">
        <v>0</v>
      </c>
      <c r="E70" t="n">
        <v>16</v>
      </c>
      <c r="F70" t="n">
        <v>11</v>
      </c>
      <c r="G70" t="n">
        <v>46</v>
      </c>
    </row>
    <row r="71">
      <c r="A71" t="inlineStr">
        <is>
          <t>ESPECIALISTA JUDICIAL DE JUZGADO</t>
        </is>
      </c>
      <c r="B71" t="n">
        <v>0</v>
      </c>
      <c r="C71" t="n">
        <v>30</v>
      </c>
      <c r="D71" t="n">
        <v>0</v>
      </c>
      <c r="E71" t="n">
        <v>46</v>
      </c>
      <c r="F71" t="n">
        <v>24</v>
      </c>
      <c r="G71" t="n">
        <v>100</v>
      </c>
    </row>
    <row r="72">
      <c r="A72" t="inlineStr">
        <is>
          <t>ESPECIALISTA JUDICIAL DE SALA</t>
        </is>
      </c>
      <c r="B72" t="n">
        <v>0</v>
      </c>
      <c r="C72" t="n">
        <v>4</v>
      </c>
      <c r="D72" t="n">
        <v>0</v>
      </c>
      <c r="E72" t="n">
        <v>1</v>
      </c>
      <c r="F72" t="n">
        <v>0</v>
      </c>
      <c r="G72" t="n">
        <v>5</v>
      </c>
    </row>
    <row r="73">
      <c r="A73" t="inlineStr">
        <is>
          <t>ESPECIALISTA LEGAL</t>
        </is>
      </c>
      <c r="B73" t="n">
        <v>0</v>
      </c>
      <c r="C73" t="n">
        <v>0</v>
      </c>
      <c r="D73" t="n">
        <v>0</v>
      </c>
      <c r="E73" t="n">
        <v>11</v>
      </c>
      <c r="F73" t="n">
        <v>0</v>
      </c>
      <c r="G73" t="n">
        <v>11</v>
      </c>
    </row>
    <row r="74">
      <c r="A74" t="inlineStr">
        <is>
          <t>ESPECIALISTA LEGAL DE AUDIENCIA</t>
        </is>
      </c>
      <c r="B74" t="n">
        <v>0</v>
      </c>
      <c r="C74" t="n">
        <v>0</v>
      </c>
      <c r="D74" t="n">
        <v>0</v>
      </c>
      <c r="E74" t="n">
        <v>2</v>
      </c>
      <c r="F74" t="n">
        <v>0</v>
      </c>
      <c r="G74" t="n">
        <v>2</v>
      </c>
    </row>
    <row r="75">
      <c r="A75" t="inlineStr">
        <is>
          <t>ESPECIALISTA LEGAL DE JUZGADO</t>
        </is>
      </c>
      <c r="B75" t="n">
        <v>0</v>
      </c>
      <c r="C75" t="n">
        <v>0</v>
      </c>
      <c r="D75" t="n">
        <v>0</v>
      </c>
      <c r="E75" t="n">
        <v>3</v>
      </c>
      <c r="F75" t="n">
        <v>0</v>
      </c>
      <c r="G75" t="n">
        <v>3</v>
      </c>
    </row>
    <row r="76">
      <c r="A76" t="inlineStr">
        <is>
          <t>ESPECIALISTA LEGAL DE SALA</t>
        </is>
      </c>
      <c r="B76" t="n">
        <v>0</v>
      </c>
      <c r="C76" t="n">
        <v>0</v>
      </c>
      <c r="D76" t="n">
        <v>0</v>
      </c>
      <c r="E76" t="n">
        <v>3</v>
      </c>
      <c r="F76" t="n">
        <v>0</v>
      </c>
      <c r="G76" t="n">
        <v>3</v>
      </c>
    </row>
    <row r="77">
      <c r="A77" t="inlineStr">
        <is>
          <t>JEFE DE UNIDAD</t>
        </is>
      </c>
      <c r="B77" t="n">
        <v>0</v>
      </c>
      <c r="C77" t="n">
        <v>3</v>
      </c>
      <c r="D77" t="n">
        <v>0</v>
      </c>
      <c r="E77" t="n">
        <v>0</v>
      </c>
      <c r="F77" t="n">
        <v>0</v>
      </c>
      <c r="G77" t="n">
        <v>3</v>
      </c>
    </row>
    <row r="78">
      <c r="A78" t="inlineStr">
        <is>
          <t>JEFE/A DE UNIDAD</t>
        </is>
      </c>
      <c r="B78" t="n">
        <v>0</v>
      </c>
      <c r="C78" t="n">
        <v>0</v>
      </c>
      <c r="D78" t="n">
        <v>0</v>
      </c>
      <c r="E78" t="n">
        <v>2</v>
      </c>
      <c r="F78" t="n">
        <v>0</v>
      </c>
      <c r="G78" t="n">
        <v>2</v>
      </c>
    </row>
    <row r="79">
      <c r="A79" t="inlineStr">
        <is>
          <t>JUEZ DE PAZ LETRADO</t>
        </is>
      </c>
      <c r="B79" t="n">
        <v>20</v>
      </c>
      <c r="C79" t="n">
        <v>0</v>
      </c>
      <c r="D79" t="n">
        <v>0</v>
      </c>
      <c r="E79" t="n">
        <v>0</v>
      </c>
      <c r="F79" t="n">
        <v>0</v>
      </c>
      <c r="G79" t="n">
        <v>20</v>
      </c>
    </row>
    <row r="80">
      <c r="A80" t="inlineStr">
        <is>
          <t>JUEZ ESPECIALIZADO</t>
        </is>
      </c>
      <c r="B80" t="n">
        <v>72</v>
      </c>
      <c r="C80" t="n">
        <v>0</v>
      </c>
      <c r="D80" t="n">
        <v>0</v>
      </c>
      <c r="E80" t="n">
        <v>0</v>
      </c>
      <c r="F80" t="n">
        <v>0</v>
      </c>
      <c r="G80" t="n">
        <v>72</v>
      </c>
    </row>
    <row r="81">
      <c r="A81" t="inlineStr">
        <is>
          <t>JUEZ ESPECIALIZADO 7U-4</t>
        </is>
      </c>
      <c r="B81" t="n">
        <v>6</v>
      </c>
      <c r="C81" t="n">
        <v>0</v>
      </c>
      <c r="D81" t="n">
        <v>0</v>
      </c>
      <c r="E81" t="n">
        <v>0</v>
      </c>
      <c r="F81" t="n">
        <v>0</v>
      </c>
      <c r="G81" t="n">
        <v>6</v>
      </c>
    </row>
    <row r="82">
      <c r="A82" t="inlineStr">
        <is>
          <t>JUEZ SUPERIOR</t>
        </is>
      </c>
      <c r="B82" t="n">
        <v>22</v>
      </c>
      <c r="C82" t="n">
        <v>0</v>
      </c>
      <c r="D82" t="n">
        <v>0</v>
      </c>
      <c r="E82" t="n">
        <v>0</v>
      </c>
      <c r="F82" t="n">
        <v>0</v>
      </c>
      <c r="G82" t="n">
        <v>22</v>
      </c>
    </row>
    <row r="83">
      <c r="A83" t="inlineStr">
        <is>
          <t>MADRE CUIDADORA DEL WAWA WASI INSTITUCIONAL</t>
        </is>
      </c>
      <c r="B83" t="n">
        <v>0</v>
      </c>
      <c r="C83" t="n">
        <v>0</v>
      </c>
      <c r="D83" t="n">
        <v>0</v>
      </c>
      <c r="E83" t="n">
        <v>0</v>
      </c>
      <c r="F83" t="n">
        <v>2</v>
      </c>
      <c r="G83" t="n">
        <v>2</v>
      </c>
    </row>
    <row r="84">
      <c r="A84" t="inlineStr">
        <is>
          <t>MEDICO</t>
        </is>
      </c>
      <c r="B84" t="n">
        <v>0</v>
      </c>
      <c r="C84" t="n">
        <v>0</v>
      </c>
      <c r="D84" t="n">
        <v>0</v>
      </c>
      <c r="E84" t="n">
        <v>0</v>
      </c>
      <c r="F84" t="n">
        <v>1</v>
      </c>
      <c r="G84" t="n">
        <v>1</v>
      </c>
    </row>
    <row r="85">
      <c r="A85" t="inlineStr">
        <is>
          <t>NOTIFICADOR</t>
        </is>
      </c>
      <c r="B85" t="n">
        <v>0</v>
      </c>
      <c r="C85" t="n">
        <v>0</v>
      </c>
      <c r="D85" t="n">
        <v>0</v>
      </c>
      <c r="E85" t="n">
        <v>6</v>
      </c>
      <c r="F85" t="n">
        <v>3</v>
      </c>
      <c r="G85" t="n">
        <v>9</v>
      </c>
    </row>
    <row r="86">
      <c r="A86" t="inlineStr">
        <is>
          <t>PERITO JUDICIAL</t>
        </is>
      </c>
      <c r="B86" t="n">
        <v>0</v>
      </c>
      <c r="C86" t="n">
        <v>2</v>
      </c>
      <c r="D86" t="n">
        <v>0</v>
      </c>
      <c r="E86" t="n">
        <v>2</v>
      </c>
      <c r="F86" t="n">
        <v>0</v>
      </c>
      <c r="G86" t="n">
        <v>4</v>
      </c>
    </row>
    <row r="87">
      <c r="A87" t="inlineStr">
        <is>
          <t>PERSONAL  DE SEGURIDAD</t>
        </is>
      </c>
      <c r="B87" t="n">
        <v>0</v>
      </c>
      <c r="C87" t="n">
        <v>0</v>
      </c>
      <c r="D87" t="n">
        <v>0</v>
      </c>
      <c r="E87" t="n">
        <v>6</v>
      </c>
      <c r="F87" t="n">
        <v>0</v>
      </c>
      <c r="G87" t="n">
        <v>6</v>
      </c>
    </row>
    <row r="88">
      <c r="A88" t="inlineStr">
        <is>
          <t>PRESIDENTE DE CORTE SUPERIOR</t>
        </is>
      </c>
      <c r="B88" t="n">
        <v>1</v>
      </c>
      <c r="C88" t="n">
        <v>0</v>
      </c>
      <c r="D88" t="n">
        <v>0</v>
      </c>
      <c r="E88" t="n">
        <v>0</v>
      </c>
      <c r="F88" t="n">
        <v>0</v>
      </c>
      <c r="G88" t="n">
        <v>1</v>
      </c>
    </row>
    <row r="89">
      <c r="A89" t="inlineStr">
        <is>
          <t>PROFESIONAL LEGAL</t>
        </is>
      </c>
      <c r="B89" t="n">
        <v>0</v>
      </c>
      <c r="C89" t="n">
        <v>0</v>
      </c>
      <c r="D89" t="n">
        <v>0</v>
      </c>
      <c r="E89" t="n">
        <v>2</v>
      </c>
      <c r="F89" t="n">
        <v>0</v>
      </c>
      <c r="G89" t="n">
        <v>2</v>
      </c>
    </row>
    <row r="90">
      <c r="A90" t="inlineStr">
        <is>
          <t>PROFESIONAL LEGAL DE JUZGADO</t>
        </is>
      </c>
      <c r="B90" t="n">
        <v>0</v>
      </c>
      <c r="C90" t="n">
        <v>0</v>
      </c>
      <c r="D90" t="n">
        <v>0</v>
      </c>
      <c r="E90" t="n">
        <v>1</v>
      </c>
      <c r="F90" t="n">
        <v>0</v>
      </c>
      <c r="G90" t="n">
        <v>1</v>
      </c>
    </row>
    <row r="91">
      <c r="A91" t="inlineStr">
        <is>
          <t>PSICOLOGO</t>
        </is>
      </c>
      <c r="B91" t="n">
        <v>0</v>
      </c>
      <c r="C91" t="n">
        <v>5</v>
      </c>
      <c r="D91" t="n">
        <v>0</v>
      </c>
      <c r="E91" t="n">
        <v>5</v>
      </c>
      <c r="F91" t="n">
        <v>4</v>
      </c>
      <c r="G91" t="n">
        <v>14</v>
      </c>
    </row>
    <row r="92">
      <c r="A92" t="inlineStr">
        <is>
          <t>RELATOR I</t>
        </is>
      </c>
      <c r="B92" t="n">
        <v>0</v>
      </c>
      <c r="C92" t="n">
        <v>4</v>
      </c>
      <c r="D92" t="n">
        <v>0</v>
      </c>
      <c r="E92" t="n">
        <v>0</v>
      </c>
      <c r="F92" t="n">
        <v>0</v>
      </c>
      <c r="G92" t="n">
        <v>4</v>
      </c>
    </row>
    <row r="93">
      <c r="A93" t="inlineStr">
        <is>
          <t>RESGUARDO, CUSTODIA Y VIGILANCIA</t>
        </is>
      </c>
      <c r="B93" t="n">
        <v>0</v>
      </c>
      <c r="C93" t="n">
        <v>0</v>
      </c>
      <c r="D93" t="n">
        <v>0</v>
      </c>
      <c r="E93" t="n">
        <v>6</v>
      </c>
      <c r="F93" t="n">
        <v>36</v>
      </c>
      <c r="G93" t="n">
        <v>42</v>
      </c>
    </row>
    <row r="94">
      <c r="A94" t="inlineStr">
        <is>
          <t>REVISOR</t>
        </is>
      </c>
      <c r="B94" t="n">
        <v>0</v>
      </c>
      <c r="C94" t="n">
        <v>1</v>
      </c>
      <c r="D94" t="n">
        <v>0</v>
      </c>
      <c r="E94" t="n">
        <v>0</v>
      </c>
      <c r="F94" t="n">
        <v>0</v>
      </c>
      <c r="G94" t="n">
        <v>1</v>
      </c>
    </row>
    <row r="95">
      <c r="A95" t="inlineStr">
        <is>
          <t>SECRETARIO DE SALA</t>
        </is>
      </c>
      <c r="B95" t="n">
        <v>0</v>
      </c>
      <c r="C95" t="n">
        <v>4</v>
      </c>
      <c r="D95" t="n">
        <v>0</v>
      </c>
      <c r="E95" t="n">
        <v>0</v>
      </c>
      <c r="F95" t="n">
        <v>0</v>
      </c>
      <c r="G95" t="n">
        <v>4</v>
      </c>
    </row>
    <row r="96">
      <c r="A96" t="inlineStr">
        <is>
          <t>SECRETARIO III</t>
        </is>
      </c>
      <c r="B96" t="n">
        <v>0</v>
      </c>
      <c r="C96" t="n">
        <v>1</v>
      </c>
      <c r="D96" t="n">
        <v>0</v>
      </c>
      <c r="E96" t="n">
        <v>0</v>
      </c>
      <c r="F96" t="n">
        <v>0</v>
      </c>
      <c r="G96" t="n">
        <v>1</v>
      </c>
    </row>
    <row r="97">
      <c r="A97" t="inlineStr">
        <is>
          <t>SECRETARIO JUDICIAL</t>
        </is>
      </c>
      <c r="B97" t="n">
        <v>0</v>
      </c>
      <c r="C97" t="n">
        <v>127</v>
      </c>
      <c r="D97" t="n">
        <v>0</v>
      </c>
      <c r="E97" t="n">
        <v>4</v>
      </c>
      <c r="F97" t="n">
        <v>4</v>
      </c>
      <c r="G97" t="n">
        <v>135</v>
      </c>
    </row>
    <row r="98">
      <c r="A98" t="inlineStr">
        <is>
          <t>SECRETARIO JUDICIAL I</t>
        </is>
      </c>
      <c r="B98" t="n">
        <v>0</v>
      </c>
      <c r="C98" t="n">
        <v>0</v>
      </c>
      <c r="D98" t="n">
        <v>1</v>
      </c>
      <c r="E98" t="n">
        <v>0</v>
      </c>
      <c r="F98" t="n">
        <v>0</v>
      </c>
      <c r="G98" t="n">
        <v>1</v>
      </c>
    </row>
    <row r="99">
      <c r="A99" t="inlineStr">
        <is>
          <t>SECRETARIO/A DE JUZGADO - PROTECCIÓN</t>
        </is>
      </c>
      <c r="B99" t="n">
        <v>0</v>
      </c>
      <c r="C99" t="n">
        <v>0</v>
      </c>
      <c r="D99" t="n">
        <v>0</v>
      </c>
      <c r="E99" t="n">
        <v>7</v>
      </c>
      <c r="F99" t="n">
        <v>0</v>
      </c>
      <c r="G99" t="n">
        <v>7</v>
      </c>
    </row>
    <row r="100">
      <c r="A100" t="inlineStr">
        <is>
          <t>SECRETARIO/A JUDICIAL</t>
        </is>
      </c>
      <c r="B100" t="n">
        <v>0</v>
      </c>
      <c r="C100" t="n">
        <v>0</v>
      </c>
      <c r="D100" t="n">
        <v>0</v>
      </c>
      <c r="E100" t="n">
        <v>11</v>
      </c>
      <c r="F100" t="n">
        <v>0</v>
      </c>
      <c r="G100" t="n">
        <v>11</v>
      </c>
    </row>
    <row r="101">
      <c r="A101" t="inlineStr">
        <is>
          <t>SEGURIDAD</t>
        </is>
      </c>
      <c r="B101" t="n">
        <v>0</v>
      </c>
      <c r="C101" t="n">
        <v>0</v>
      </c>
      <c r="D101" t="n">
        <v>0</v>
      </c>
      <c r="E101" t="n">
        <v>1</v>
      </c>
      <c r="F101" t="n">
        <v>0</v>
      </c>
      <c r="G101" t="n">
        <v>1</v>
      </c>
    </row>
    <row r="102">
      <c r="A102" t="inlineStr">
        <is>
          <t>TECNICO ADMINISTRATIVO I</t>
        </is>
      </c>
      <c r="B102" t="n">
        <v>0</v>
      </c>
      <c r="C102" t="n">
        <v>1</v>
      </c>
      <c r="D102" t="n">
        <v>0</v>
      </c>
      <c r="E102" t="n">
        <v>0</v>
      </c>
      <c r="F102" t="n">
        <v>0</v>
      </c>
      <c r="G102" t="n">
        <v>1</v>
      </c>
    </row>
    <row r="103">
      <c r="A103" t="inlineStr">
        <is>
          <t>TECNICO ADMINISTRATIVO II</t>
        </is>
      </c>
      <c r="B103" t="n">
        <v>0</v>
      </c>
      <c r="C103" t="n">
        <v>1</v>
      </c>
      <c r="D103" t="n">
        <v>0</v>
      </c>
      <c r="E103" t="n">
        <v>1</v>
      </c>
      <c r="F103" t="n">
        <v>0</v>
      </c>
      <c r="G103" t="n">
        <v>2</v>
      </c>
    </row>
    <row r="104">
      <c r="A104" t="inlineStr">
        <is>
          <t>TECNICO JUDICIAL</t>
        </is>
      </c>
      <c r="B104" t="n">
        <v>0</v>
      </c>
      <c r="C104" t="n">
        <v>26</v>
      </c>
      <c r="D104" t="n">
        <v>0</v>
      </c>
      <c r="E104" t="n">
        <v>0</v>
      </c>
      <c r="F104" t="n">
        <v>0</v>
      </c>
      <c r="G104" t="n">
        <v>26</v>
      </c>
    </row>
    <row r="105">
      <c r="A105" t="inlineStr">
        <is>
          <t>TECNICO JUDICIAL I</t>
        </is>
      </c>
      <c r="B105" t="n">
        <v>0</v>
      </c>
      <c r="C105" t="n">
        <v>0</v>
      </c>
      <c r="D105" t="n">
        <v>1</v>
      </c>
      <c r="E105" t="n">
        <v>0</v>
      </c>
      <c r="F105" t="n">
        <v>0</v>
      </c>
      <c r="G105" t="n">
        <v>1</v>
      </c>
    </row>
    <row r="106">
      <c r="A106" t="inlineStr">
        <is>
          <t>TRABAJADOR SOCIAL</t>
        </is>
      </c>
      <c r="B106" t="n">
        <v>0</v>
      </c>
      <c r="C106" t="n">
        <v>8</v>
      </c>
      <c r="D106" t="n">
        <v>0</v>
      </c>
      <c r="E106" t="n">
        <v>0</v>
      </c>
      <c r="F106" t="n">
        <v>0</v>
      </c>
      <c r="G106" t="n">
        <v>8</v>
      </c>
    </row>
    <row r="107">
      <c r="A107" t="inlineStr">
        <is>
          <t>TRABAJADORA SOCIAL</t>
        </is>
      </c>
      <c r="B107" t="n">
        <v>0</v>
      </c>
      <c r="C107" t="n">
        <v>0</v>
      </c>
      <c r="D107" t="n">
        <v>0</v>
      </c>
      <c r="E107" t="n">
        <v>1</v>
      </c>
      <c r="F107" t="n">
        <v>3</v>
      </c>
      <c r="G107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2026-05-05T02:51:48Z</dcterms:created>
  <dcterms:modified xmlns:dcterms="http://purl.org/dc/terms/" xmlns:xsi="http://www.w3.org/2001/XMLSchema-instance" xsi:type="dcterms:W3CDTF">2026-05-12T16:18:10Z</dcterms:modified>
  <cp:lastModifiedBy>PJUDICIAL</cp:lastModifiedBy>
</cp:coreProperties>
</file>