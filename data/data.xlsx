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UDICIAL\Documents\colegiodeabogados\data\"/>
    </mc:Choice>
  </mc:AlternateContent>
  <xr:revisionPtr revIDLastSave="0" documentId="13_ncr:1_{49C59223-7FB6-4BCA-9069-D1CF3DCDF21C}" xr6:coauthVersionLast="47" xr6:coauthVersionMax="47" xr10:uidLastSave="{00000000-0000-0000-0000-000000000000}"/>
  <bookViews>
    <workbookView xWindow="-120" yWindow="-120" windowWidth="29040" windowHeight="15720" tabRatio="801" firstSheet="1" activeTab="10" xr2:uid="{00000000-000D-0000-FFFF-FFFF00000000}"/>
  </bookViews>
  <sheets>
    <sheet name="Carga Procesal" sheetId="1" r:id="rId1"/>
    <sheet name="Poblacion_Data" sheetId="2" r:id="rId2"/>
    <sheet name="Poblacion_Pivot" sheetId="3" r:id="rId3"/>
    <sheet name="Resumen_Provincia" sheetId="4" r:id="rId4"/>
    <sheet name="Detalle_Provincia" sheetId="5" r:id="rId5"/>
    <sheet name="Resumen_Tipo" sheetId="6" r:id="rId6"/>
    <sheet name="Data_Plana" sheetId="7" r:id="rId7"/>
    <sheet name="Resumen" sheetId="8" r:id="rId8"/>
    <sheet name="Audiencias_Data" sheetId="9" r:id="rId9"/>
    <sheet name="Audiencias_Pivot" sheetId="10" r:id="rId10"/>
    <sheet name="Alerta_Sobrecarga" sheetId="11" r:id="rId11"/>
    <sheet name="Pob_Proyeccion" sheetId="12" r:id="rId12"/>
    <sheet name="Jueces_Pob_2026" sheetId="13" r:id="rId13"/>
    <sheet name="Personal_Regimen" sheetId="14" r:id="rId14"/>
    <sheet name="Personal_Cargo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1" i="9" l="1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1" i="9"/>
  <c r="G40" i="9"/>
  <c r="G39" i="9"/>
  <c r="G38" i="9"/>
  <c r="G37" i="9"/>
  <c r="G36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E75" i="8"/>
  <c r="E74" i="8"/>
  <c r="E73" i="8"/>
  <c r="E72" i="8"/>
  <c r="E71" i="8"/>
  <c r="E70" i="8"/>
  <c r="E69" i="8"/>
  <c r="E68" i="8"/>
  <c r="E67" i="8"/>
  <c r="E13" i="8"/>
  <c r="D13" i="8"/>
  <c r="C13" i="8"/>
  <c r="B13" i="8"/>
  <c r="F13" i="8" s="1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D11" i="4"/>
  <c r="C11" i="4"/>
  <c r="B10" i="4"/>
  <c r="B9" i="4"/>
  <c r="B8" i="4"/>
  <c r="B7" i="4"/>
  <c r="B6" i="4"/>
  <c r="B5" i="4"/>
  <c r="B11" i="4" s="1"/>
  <c r="B4" i="4"/>
  <c r="B3" i="4"/>
</calcChain>
</file>

<file path=xl/sharedStrings.xml><?xml version="1.0" encoding="utf-8"?>
<sst xmlns="http://schemas.openxmlformats.org/spreadsheetml/2006/main" count="3325" uniqueCount="442">
  <si>
    <t>MAGISTRADOS POR PROVINCIA — RESUMEN</t>
  </si>
  <si>
    <t>PROVINCIA</t>
  </si>
  <si>
    <t>TOTAL</t>
  </si>
  <si>
    <t>J. ESP</t>
  </si>
  <si>
    <t>JPL</t>
  </si>
  <si>
    <t>SALA</t>
  </si>
  <si>
    <t>VARONES</t>
  </si>
  <si>
    <t>MUJERES</t>
  </si>
  <si>
    <t>TITULARES</t>
  </si>
  <si>
    <t>SUPERN./PROV.</t>
  </si>
  <si>
    <t>Huancayo</t>
  </si>
  <si>
    <t>Tarma</t>
  </si>
  <si>
    <t>Jauja</t>
  </si>
  <si>
    <t>Tayacaja</t>
  </si>
  <si>
    <t>Chupaca</t>
  </si>
  <si>
    <t>Concepción</t>
  </si>
  <si>
    <t>Yauli</t>
  </si>
  <si>
    <t>Junín</t>
  </si>
  <si>
    <t>TOTAL CSJJ</t>
  </si>
  <si>
    <t>Año</t>
  </si>
  <si>
    <t>Especialidad</t>
  </si>
  <si>
    <t>Ingresos</t>
  </si>
  <si>
    <t>Carga Procesal</t>
  </si>
  <si>
    <t>Resueltos</t>
  </si>
  <si>
    <t>Civil</t>
  </si>
  <si>
    <t>Familia</t>
  </si>
  <si>
    <t>Laboral</t>
  </si>
  <si>
    <t>Penal</t>
  </si>
  <si>
    <t>Constitucional</t>
  </si>
  <si>
    <t>Extinción Dominio</t>
  </si>
  <si>
    <t>PROYECCIONES POBLACIONALES — REGIÓN JUNÍN (INEI 2007–2031)</t>
  </si>
  <si>
    <t>AÑO</t>
  </si>
  <si>
    <t>TIPO_AÑO</t>
  </si>
  <si>
    <t>PCT_VARONES</t>
  </si>
  <si>
    <t>PCT_MUJERES</t>
  </si>
  <si>
    <t>TASA_CREC_ANUAL</t>
  </si>
  <si>
    <t>Junín (región)</t>
  </si>
  <si>
    <t>Censal</t>
  </si>
  <si>
    <t>Proyección</t>
  </si>
  <si>
    <t>Junín (prov.)</t>
  </si>
  <si>
    <t>POBLACIÓN — PIVOT VARONES / MUJERES / TOTAL POR PROVINCIA Y AÑO</t>
  </si>
  <si>
    <t>MÉTRICA</t>
  </si>
  <si>
    <t>2007</t>
  </si>
  <si>
    <t>2017</t>
  </si>
  <si>
    <t>2026</t>
  </si>
  <si>
    <t>2027</t>
  </si>
  <si>
    <t>2028</t>
  </si>
  <si>
    <t>2029</t>
  </si>
  <si>
    <t>2030</t>
  </si>
  <si>
    <t>2031</t>
  </si>
  <si>
    <t>Proyec.</t>
  </si>
  <si>
    <t>Varones</t>
  </si>
  <si>
    <t>Mujeres</t>
  </si>
  <si>
    <t>Total</t>
  </si>
  <si>
    <t>DETALLE DE ÓRGANOS JURISDICCIONALES POR PROVINCIA</t>
  </si>
  <si>
    <t>TIPO</t>
  </si>
  <si>
    <t>ESPECIALIDAD</t>
  </si>
  <si>
    <t>N°</t>
  </si>
  <si>
    <t>SEDE</t>
  </si>
  <si>
    <t>MAGISTRADO</t>
  </si>
  <si>
    <t>SEXO</t>
  </si>
  <si>
    <t>CONDICIÓN</t>
  </si>
  <si>
    <t xml:space="preserve">  PROVINCIA DE HUANCAYO</t>
  </si>
  <si>
    <t>Penal Apelaciones</t>
  </si>
  <si>
    <t>1°</t>
  </si>
  <si>
    <t>CHIPANA GUILLEN WALTER</t>
  </si>
  <si>
    <t>Varón</t>
  </si>
  <si>
    <t>Titular</t>
  </si>
  <si>
    <t>CARRERA TUPAC YUPANQUI SUSAN LETTY</t>
  </si>
  <si>
    <t>Mujer</t>
  </si>
  <si>
    <t>Supernumerario</t>
  </si>
  <si>
    <t>MEZA REYES ROBERTO JOHN</t>
  </si>
  <si>
    <t>Provisional</t>
  </si>
  <si>
    <t>2°</t>
  </si>
  <si>
    <t>CARVO CASTRO CARLOS ABRAHAM</t>
  </si>
  <si>
    <t>ARIAS ALFARO MIGUEL ANGEL</t>
  </si>
  <si>
    <t>QUISPE CAMA OMAR ATILIO</t>
  </si>
  <si>
    <t>Penal Apel. Corrupción</t>
  </si>
  <si>
    <t>-</t>
  </si>
  <si>
    <t>RODRIGUEZ HUAMANI CRISTOBAL EDUARDO</t>
  </si>
  <si>
    <t>TAMBINI VIVAS LILLIAM ROSALIA</t>
  </si>
  <si>
    <t>MACHUCA URBINA DANIEL</t>
  </si>
  <si>
    <t>ORIHUELA ABREGU ALEXANDER</t>
  </si>
  <si>
    <t>CARDENAS VILLEGAS MIRIAM LUZ</t>
  </si>
  <si>
    <t>CARDENAS PUENTE TERESA</t>
  </si>
  <si>
    <t>CRISTOVAL DE LA CRUZ TIMOTEO</t>
  </si>
  <si>
    <t>AVILA HUAMAN NEIL ERWIN</t>
  </si>
  <si>
    <t>URIOL ASTO EDUARDO ANSELMO</t>
  </si>
  <si>
    <t>QUISPE PARICAHUA CLETO MARCIAL</t>
  </si>
  <si>
    <t>SAMANIEGO CORNELIO LUIS MIGUEL</t>
  </si>
  <si>
    <t>CARHUANCHO MUCHA CARLOS RICHAR</t>
  </si>
  <si>
    <t>JUP</t>
  </si>
  <si>
    <t>Penal Colegiado</t>
  </si>
  <si>
    <t>TEVES VALDEZ NICK</t>
  </si>
  <si>
    <t>BALDEON SANABRIA MIGUEL JUNIOR</t>
  </si>
  <si>
    <t>MENDEZ CORNEJO CLAUDIO LUIS</t>
  </si>
  <si>
    <t>Penal Colegiado Trans. VCM</t>
  </si>
  <si>
    <t>YUPANQUI PEREZ CINTHIA MILAGROS</t>
  </si>
  <si>
    <t>ESPINOZA MILLÁN CARMEN ELIZABETH</t>
  </si>
  <si>
    <t>MEDRANO SEDANO ELIAS MARCEL</t>
  </si>
  <si>
    <t>VICUÑA ZAMORA JESUS</t>
  </si>
  <si>
    <t>BUSTAMANTE VERA JORGE ENRIQUE</t>
  </si>
  <si>
    <t>3°</t>
  </si>
  <si>
    <t>ARMAS INGA ESTRELLA</t>
  </si>
  <si>
    <t>4°</t>
  </si>
  <si>
    <t>BELTRAN GUZMAN ERICH JOHAN</t>
  </si>
  <si>
    <t>5°</t>
  </si>
  <si>
    <t>MANTARI MOLINA MANUEL</t>
  </si>
  <si>
    <t>Comercial</t>
  </si>
  <si>
    <t>TORRES ALTEZ DANTE REYNALDO</t>
  </si>
  <si>
    <t>CAJINCHO YAÑEZ DORIS</t>
  </si>
  <si>
    <t>CORILLA BAQUERIZO JENIS AIDA</t>
  </si>
  <si>
    <t>OLIVERA MONTERO IRMA ROSA</t>
  </si>
  <si>
    <t>MONDARGO MARTINEZ NEDER ELIAS</t>
  </si>
  <si>
    <t>ALVARADO PEREZ JUANA VIRGINIA</t>
  </si>
  <si>
    <t>Familia VCM</t>
  </si>
  <si>
    <t>SUASNABAR TOLENTINO LUIS RICARDO</t>
  </si>
  <si>
    <t>6°</t>
  </si>
  <si>
    <t>MORALES MONTES GRACIELA</t>
  </si>
  <si>
    <t>7°</t>
  </si>
  <si>
    <t>BALDEON GAMARRA ANGELA BEATRIZ</t>
  </si>
  <si>
    <t>8°</t>
  </si>
  <si>
    <t>TORRES DELGADO EDWIN VICTOR</t>
  </si>
  <si>
    <t>9°</t>
  </si>
  <si>
    <t>CARHUAMACA QUISPE GABRIELA</t>
  </si>
  <si>
    <t>10°</t>
  </si>
  <si>
    <t>AUQUI HUERTA TEOFANES EDGAR</t>
  </si>
  <si>
    <t>Penal Unip. Corrupción</t>
  </si>
  <si>
    <t>ALEJANDRO HUANUCO ROSEMARIE CLEMENCIA</t>
  </si>
  <si>
    <t>ARROYO AMES GUIDO REYNALDO</t>
  </si>
  <si>
    <t>Penal Unip. VCM</t>
  </si>
  <si>
    <t>CASTILLO GONZALES EMPERATRIZ VICTORIA</t>
  </si>
  <si>
    <t>CHUQUIPUIMA RICSE MERCEDES GEORGINA</t>
  </si>
  <si>
    <t>OBLITAS CEVALLOS LUIS ROLANDO</t>
  </si>
  <si>
    <t>Penal Unipersonal</t>
  </si>
  <si>
    <t>RODRIGUEZ LIZANA RAFAEL</t>
  </si>
  <si>
    <t>GONZALES ORE YONNY ALBINO</t>
  </si>
  <si>
    <t>PALOMINO PRADO RICHARD</t>
  </si>
  <si>
    <t>FERNÁNDEZ ORDOÑEZ AMPARO</t>
  </si>
  <si>
    <t>Trabajo</t>
  </si>
  <si>
    <t>ALVA RICALDI PAUL FAUSTINO</t>
  </si>
  <si>
    <t>CHANCO CASTILLON ESAU</t>
  </si>
  <si>
    <t>QUINTEROS CARLOS LETICIA</t>
  </si>
  <si>
    <t>GOMEZ BAZALAR IRIS EDITH</t>
  </si>
  <si>
    <t>Trabajo Transitorio</t>
  </si>
  <si>
    <t>ARTEAGA FERNANDEZ ISAAC ARTURO</t>
  </si>
  <si>
    <t>JIP</t>
  </si>
  <si>
    <t>Extinción de Dominio</t>
  </si>
  <si>
    <t>CONCHA CHAVEZ WILIAMAN PERCY</t>
  </si>
  <si>
    <t>Invest. Prep. Corrupción</t>
  </si>
  <si>
    <t>BALDEON QUISPE JULY ELIANE</t>
  </si>
  <si>
    <t>PALOMINO HUATUCO SAMMY KATHERINE</t>
  </si>
  <si>
    <t>Invest. Prep. Flagrancia</t>
  </si>
  <si>
    <t>GARCIA DEXTRE CLAUDIA BALDRAMINA</t>
  </si>
  <si>
    <t>LONGARAY CASTRO ROGER OMAR</t>
  </si>
  <si>
    <t>Invest. Prep. VCM</t>
  </si>
  <si>
    <t>GUTIERREZ HUAMAN HOOVER OSCAR</t>
  </si>
  <si>
    <t>JINES RAFAEL MARIBEL</t>
  </si>
  <si>
    <t>ROJAS CHANCASANAMPA MICHAEL HENRY</t>
  </si>
  <si>
    <t>Invest. Preparatoria</t>
  </si>
  <si>
    <t>HERRERA RIVAS RAFAEL AGUSTIN</t>
  </si>
  <si>
    <t>BELLO MERLO EVER</t>
  </si>
  <si>
    <t>GUADALUPE ULLOA RUBEN CESARIO</t>
  </si>
  <si>
    <t>Mixto</t>
  </si>
  <si>
    <t>S.A. de Cajas</t>
  </si>
  <si>
    <t>DUEÑAS IZARRA FLOR DE LIZ</t>
  </si>
  <si>
    <t>JORGE RAMIREZ KATHYA CORINA</t>
  </si>
  <si>
    <t>Chilca</t>
  </si>
  <si>
    <t>CHAUCAYANQUI ZORRILLA RUTH</t>
  </si>
  <si>
    <t>CAMARENA CAMARENA MARCO ANTONIO</t>
  </si>
  <si>
    <t>CASTILLO AYALA MILANOVA DELIA</t>
  </si>
  <si>
    <t>CORILLOCLLA SANCHEZ DIANA LUZ</t>
  </si>
  <si>
    <t>El Tambo</t>
  </si>
  <si>
    <t>VELASQUEZ VIVAS ALIDA SOLEDAD</t>
  </si>
  <si>
    <t>ALANYA CASTILLO MIGUEL ANGEL</t>
  </si>
  <si>
    <t>URIBE MORAN MIGUEL ANGEL</t>
  </si>
  <si>
    <t>BARRIOS MORALES LUZ MARIBEL</t>
  </si>
  <si>
    <t>ARAUJO MONTES NELVA MICARELLI</t>
  </si>
  <si>
    <t xml:space="preserve">  PROVINCIA DE TARMA</t>
  </si>
  <si>
    <t>Mixta</t>
  </si>
  <si>
    <t>OLIVERA GUERRA NICK</t>
  </si>
  <si>
    <t>TAFUR FUENTES CESAR AUGUSTO</t>
  </si>
  <si>
    <t>TICONA MAMANI JOSE LUIS</t>
  </si>
  <si>
    <t>PEÑA TORRES EVGUENI</t>
  </si>
  <si>
    <t>ROJAS LAZARO WILLIAM RAUL</t>
  </si>
  <si>
    <t>CACHAY ROJAS MARIA DOLORES</t>
  </si>
  <si>
    <t>QUISPE VILCAPOMA RICHARTH</t>
  </si>
  <si>
    <t>VILLANUEVA ALTAMIRANO EDWIN WILSON</t>
  </si>
  <si>
    <t>CARHUAMACA CLAUDIO ALEX JUAN</t>
  </si>
  <si>
    <t>DIESTRA VIVAR EDGARDO RODOLFO</t>
  </si>
  <si>
    <t>Acobamba</t>
  </si>
  <si>
    <t>QUIROZ POZO WALKER</t>
  </si>
  <si>
    <t>SILVERIO CAMAHUALI GIULIANA PAOLA</t>
  </si>
  <si>
    <t xml:space="preserve">  PROVINCIA DE JAUJA</t>
  </si>
  <si>
    <t>BORDA VARGAS ITALO ARTURO</t>
  </si>
  <si>
    <t>RUCABADO ROMERO BLANCA NORMA</t>
  </si>
  <si>
    <t>PINO PUMA HENRY</t>
  </si>
  <si>
    <t>ARROYO VELITA HUGO</t>
  </si>
  <si>
    <t>PERALTA PAMPA LIZBETH PAOLA</t>
  </si>
  <si>
    <t>HUAMAN CARRASCO SEGUNDO JUAN</t>
  </si>
  <si>
    <t>MAMANI ESCOBAR CHRISTIAN ESBIARDO</t>
  </si>
  <si>
    <t xml:space="preserve">  PROVINCIA DE CHUPACA</t>
  </si>
  <si>
    <t>LUQUE PINTO JORGE RENE</t>
  </si>
  <si>
    <t>Civil Mixto Trans.</t>
  </si>
  <si>
    <t>JIMÉNEZ PATIÑO HENRY JUAN</t>
  </si>
  <si>
    <t>CURIÑAUPA MEDINA MARIO LUIS</t>
  </si>
  <si>
    <t>ZEBALLOS HURTADO GILMAR LEONIDAS</t>
  </si>
  <si>
    <t>DUEÑAS HINOJOSA ROY ROGER</t>
  </si>
  <si>
    <t xml:space="preserve">  PROVINCIA DE CONCEPCIÓN</t>
  </si>
  <si>
    <t>ROJAS MORALES NADIA</t>
  </si>
  <si>
    <t>LANDEO ALVAREZ FERNAN OLAVO</t>
  </si>
  <si>
    <t>PALOMINO LEON FIDEL HUGO</t>
  </si>
  <si>
    <t>ROMAN RAMOS JIMMY ANTHONY</t>
  </si>
  <si>
    <t xml:space="preserve">  PROVINCIA DE YAULI</t>
  </si>
  <si>
    <t>La Oroya</t>
  </si>
  <si>
    <t>SANTANA SOCUALAYA JESUS</t>
  </si>
  <si>
    <t>LLAMOCA MILLA SONIA AURORA</t>
  </si>
  <si>
    <t>SANTANA ANTEZANA MARIA ELENA</t>
  </si>
  <si>
    <t>HUACHOS BENITES ELIZABETH</t>
  </si>
  <si>
    <t xml:space="preserve">  PROVINCIA DE JUNÍN</t>
  </si>
  <si>
    <t>CORZO HINOJOSA SAUL YUNISHIRO</t>
  </si>
  <si>
    <t>CASTILLO RIVERA ELMER</t>
  </si>
  <si>
    <t>CALIZAYA HUALPA RUBEN TOMAS</t>
  </si>
  <si>
    <t>PEREZ NAVARRO LENIN RODER</t>
  </si>
  <si>
    <t xml:space="preserve">  PROVINCIA DE TAYACAJA</t>
  </si>
  <si>
    <t>Pampas</t>
  </si>
  <si>
    <t>LLALLICO MANZANEDO ALBERTO HENRY</t>
  </si>
  <si>
    <t>PINEDA CHAVEZ ROXANA</t>
  </si>
  <si>
    <t>MATOS CENTENO JOSE LEONEL</t>
  </si>
  <si>
    <t>MARTINEZ GARCIA ABEL YAHEVE</t>
  </si>
  <si>
    <t>Surcubamba</t>
  </si>
  <si>
    <t>CUADRADO MARIN JORGE ALBERTO</t>
  </si>
  <si>
    <t>DISTRIBUCIÓN POR TIPO DE ÓRGANO JURISDICCIONAL</t>
  </si>
  <si>
    <t>JPL — Juzgado de Paz Letrado  (20 magistrados)</t>
  </si>
  <si>
    <t>JIP — Juzgado de Investigación Preparatoria  (20 magistrados)</t>
  </si>
  <si>
    <t>JUP — Juzgado Unipersonal / Especializado  (54 magistrados)</t>
  </si>
  <si>
    <t>CAMARENA MADRID WILDER WALTER</t>
  </si>
  <si>
    <t>Trabajo Trans.</t>
  </si>
  <si>
    <t>SALA — Sala Superior  (7 magistrados)</t>
  </si>
  <si>
    <t>Penal Apelaciones Corrupción</t>
  </si>
  <si>
    <t>LEYENDA — Condición: T=Titular | S=Supernumerario | P=Provisional     Sexo: M=Varón | F=Mujer</t>
  </si>
  <si>
    <t>MAGISTRADOS CSJJ — DATA PLANA PARA DASHBOARD</t>
  </si>
  <si>
    <t>SEDE_LOCALIDAD</t>
  </si>
  <si>
    <t>TIPO_ORGANO</t>
  </si>
  <si>
    <t>NUMERO</t>
  </si>
  <si>
    <t>NOMBRE_COMPLETO</t>
  </si>
  <si>
    <t>CONDICION</t>
  </si>
  <si>
    <t>CONDICION_LABEL</t>
  </si>
  <si>
    <t>T</t>
  </si>
  <si>
    <t>S</t>
  </si>
  <si>
    <t>P</t>
  </si>
  <si>
    <t>J. ESP.</t>
  </si>
  <si>
    <t>INGAROCA CARLOS GUISELA DIANA</t>
  </si>
  <si>
    <t>PAREDES SANCHEZ MARIEL VERIOSHKA</t>
  </si>
  <si>
    <t>San Agustín de Cajas</t>
  </si>
  <si>
    <t>RESUMEN EJECUTIVO — CSJJ JUNÍN</t>
  </si>
  <si>
    <t>AUDIENCIAS 2025 POR SEDE</t>
  </si>
  <si>
    <t>PROGRAMADAS</t>
  </si>
  <si>
    <t>ATENDIDAS</t>
  </si>
  <si>
    <t>SUSPENDIDAS</t>
  </si>
  <si>
    <t>% ATENCIÓN</t>
  </si>
  <si>
    <t>% SUSPENSIÓN</t>
  </si>
  <si>
    <t>Concepcion</t>
  </si>
  <si>
    <t>Junin</t>
  </si>
  <si>
    <t>año</t>
  </si>
  <si>
    <t>juzgado</t>
  </si>
  <si>
    <t>programadas</t>
  </si>
  <si>
    <t>realizadas</t>
  </si>
  <si>
    <t>suspendidas</t>
  </si>
  <si>
    <t>% atención</t>
  </si>
  <si>
    <t>% suspensión</t>
  </si>
  <si>
    <t>1 JIP</t>
  </si>
  <si>
    <t>2 JIP</t>
  </si>
  <si>
    <t>3 JIP</t>
  </si>
  <si>
    <t>1 JUP</t>
  </si>
  <si>
    <t>2 JUP</t>
  </si>
  <si>
    <t>3 JUP</t>
  </si>
  <si>
    <t>JPCC</t>
  </si>
  <si>
    <t>1 JPCT</t>
  </si>
  <si>
    <t>2 JPCT</t>
  </si>
  <si>
    <t>POBLACIÓN PROYECTADA 2026 POR PROVINCIA</t>
  </si>
  <si>
    <t>% MUJERES</t>
  </si>
  <si>
    <t>TASA CREC.</t>
  </si>
  <si>
    <t>Fuente: INEI (proyecciones poblacionales) y CSJJ (audiencias)</t>
  </si>
  <si>
    <t>TASA_ATENCION</t>
  </si>
  <si>
    <t>Anual</t>
  </si>
  <si>
    <t>2018</t>
  </si>
  <si>
    <t>2019</t>
  </si>
  <si>
    <t>2020</t>
  </si>
  <si>
    <t>2021</t>
  </si>
  <si>
    <t>2022</t>
  </si>
  <si>
    <t>2023</t>
  </si>
  <si>
    <t>2024</t>
  </si>
  <si>
    <t>2025</t>
  </si>
  <si>
    <t>2026-Mar</t>
  </si>
  <si>
    <t>Parcial</t>
  </si>
  <si>
    <t>AUDIENCIAS — VISTA PIVOT POR SEDE Y AÑO</t>
  </si>
  <si>
    <t>Programadas</t>
  </si>
  <si>
    <t>Atendidas</t>
  </si>
  <si>
    <t>Suspendidas</t>
  </si>
  <si>
    <t>ORGANO_JURISDICCIONAL</t>
  </si>
  <si>
    <t>CARGA_MAXIMA</t>
  </si>
  <si>
    <t>CARGA_PROYECTADA</t>
  </si>
  <si>
    <t>PORC_SOBRECARGA</t>
  </si>
  <si>
    <t>SALA CIVIL DE HUANCAYO</t>
  </si>
  <si>
    <t>1° JUZGADO PENAL UNIPERSONAL DE HUANCAYO (PROC. INMEDIATOS)</t>
  </si>
  <si>
    <t>3° JUZGADO PENAL UNIPERSONAL DE HUANCAYO (PROC. INMEDIATOS)</t>
  </si>
  <si>
    <t>2° JUZGADO PENAL UNIPERSONAL DE HUANCAYO (PROC. COMUNES)</t>
  </si>
  <si>
    <t>4° JUZGADO PENAL UNIPERSONAL DE HUANCAYO (PROC. COMUNES)</t>
  </si>
  <si>
    <t>2° JUZGADO DE INVESTIGACIÓN PREPARATORIA DE HUANCAYO (PROC. COMUNES)</t>
  </si>
  <si>
    <t>1° JUZGADO DE INVESTIGACIÓN PREPARATORIA DE HUANCAYO (PROC. COMUNES)</t>
  </si>
  <si>
    <t>6° JUZGADO DE INVESTIGACIÓN PREPARATORIA DE HUANCAYO (PROC. COMUNES)</t>
  </si>
  <si>
    <t>2° JUZGADO DE FAMILIA DE HUANCAYO</t>
  </si>
  <si>
    <t>JUZGADO DE INVESTIGACIÓN PREPARATORIA DE CHUPACA (PROC. INMEDIATOS) (PROC. COMUNES)</t>
  </si>
  <si>
    <t>5° JUZGADO DE INVESTIGACIÓN PREPARATORIA SUPRAPROVINCIAL ESPECIALIZADO EN DELITO DE CORRUPCIÓN DE FUNCIONARIOS DE HUANCAYO</t>
  </si>
  <si>
    <t>8° JUZGADO DE INVESTIGACIÓN PREPARATORIA SUPRAPROVINCIAL ESPECIALIZADO EN DELITO DE CORRUPCIÓN DE FUNCIONARIOS DE HUANCAYO</t>
  </si>
  <si>
    <t>6° JUZGADO PENAL UNIPERSONAL SUPRAPROVINCIAL ESPECIALIZADO EN DELITOS DE CORRUPCIÓN DE FUNCIONARIOS HUANCAYO</t>
  </si>
  <si>
    <t>5° JUZGADO PENAL UNIPERSONAL SUPRAPROVINCIAL ESPECIALIZADO EN DELITOS DE CORRUPCIÓN DE FUNCIONARIOS HUANCAYO</t>
  </si>
  <si>
    <t>Provincia</t>
  </si>
  <si>
    <t>TasaCrec</t>
  </si>
  <si>
    <t>CATEGORIA</t>
  </si>
  <si>
    <t>CANTIDAD_JUECES</t>
  </si>
  <si>
    <t>PROY_POB_2026</t>
  </si>
  <si>
    <t>JUECES_POR_100K</t>
  </si>
  <si>
    <t>A NIVEL NACIONAL (1)</t>
  </si>
  <si>
    <t>DISTRITO JUDICIAL DE JUNÍN (2)</t>
  </si>
  <si>
    <t>Huancayo (3)</t>
  </si>
  <si>
    <t>Tayacaja - Dpto. Huancavelica*</t>
  </si>
  <si>
    <t>Regimen</t>
  </si>
  <si>
    <t>Cantidad</t>
  </si>
  <si>
    <t>LEY 29277</t>
  </si>
  <si>
    <t>728</t>
  </si>
  <si>
    <t>276</t>
  </si>
  <si>
    <t>CAS</t>
  </si>
  <si>
    <t>RECAS</t>
  </si>
  <si>
    <t>CARGO</t>
  </si>
  <si>
    <t>ADMINISTRADOR</t>
  </si>
  <si>
    <t>ADMINISTRADOR DE CORTE SUPERIOR</t>
  </si>
  <si>
    <t>ADMINISTRADOR DE MODULO</t>
  </si>
  <si>
    <t>ADMINISTRADOR I</t>
  </si>
  <si>
    <t>ADMINISTRADOR MÓDULO DEL NUEVO CÓDIGO PROCESAL PENAL</t>
  </si>
  <si>
    <t>AGENTE DE  SEGURIDAD</t>
  </si>
  <si>
    <t>ANALISTA</t>
  </si>
  <si>
    <t>ANALISTA ADMINISTRATIVO/A</t>
  </si>
  <si>
    <t>ANALISTA DE INFORMATICA</t>
  </si>
  <si>
    <t>ANALISTA DE INFORMATICA - DESARROLLADOR</t>
  </si>
  <si>
    <t>ANALISTA I</t>
  </si>
  <si>
    <t>ANALISTA II</t>
  </si>
  <si>
    <t>APOYO ADMINISTRATIVO</t>
  </si>
  <si>
    <t>APOYO ADMINISTRATIVO EN EL ARCHIVO DESCENTRALIZADO DE TARMA Y OTRAS ACTIVIDADES ADMINISTRATIVAS</t>
  </si>
  <si>
    <t>APOYO ADMINISTRATIVO EN EL AREA DE NOTIFICACIONES</t>
  </si>
  <si>
    <t>APOYO ADMINISTRATIVO EN LAS AREAS DE NOTIFICACIONES</t>
  </si>
  <si>
    <t>APOYO EN ACTIVIDADES ADMINISTRATIVAS</t>
  </si>
  <si>
    <t>APOYO EN CONTRATACIONES CON EL ESTADO</t>
  </si>
  <si>
    <t>APOYO EN EL DESARROLLO DE FUNCIONES DEL EQUIPO ITINERANTE</t>
  </si>
  <si>
    <t>APOYO EN INFORMES PSICOLOGICOS</t>
  </si>
  <si>
    <t>APOYO EN LA PREPARACION DE ALIMENTOS EN EL WAWA WASI INSTITUCIONAL</t>
  </si>
  <si>
    <t>APOYO EN PERICIAS CONTABLES JUDICIALES</t>
  </si>
  <si>
    <t>APOYO JURISDICCIONAL</t>
  </si>
  <si>
    <t>ASESOR DE CORTE</t>
  </si>
  <si>
    <t>ASISTENTE ADMINISTRATIVO</t>
  </si>
  <si>
    <t>ASISTENTE ADMINISTRATIVO I</t>
  </si>
  <si>
    <t>ASISTENTE ADMINISTRATIVO I MODULO</t>
  </si>
  <si>
    <t>ASISTENTE ADMINISTRATIVO II</t>
  </si>
  <si>
    <t>ASISTENTE DE ATENCION AL PUBLICO</t>
  </si>
  <si>
    <t>ASISTENTE DE ATENCIÓN AL PÚBLICO</t>
  </si>
  <si>
    <t>ASISTENTE DE COMUNICACIONES</t>
  </si>
  <si>
    <t>ASISTENTE DE CUSTODIA Y GRABACION</t>
  </si>
  <si>
    <t>ASISTENTE DE CUSTODIA Y GRABACIÓN</t>
  </si>
  <si>
    <t>ASISTENTE DE INFORMÁTICA</t>
  </si>
  <si>
    <t>ASISTENTE DE SISTEMAS</t>
  </si>
  <si>
    <t>ASISTENTE EN INFORMATICA</t>
  </si>
  <si>
    <t>ASISTENTE EN SERVICIOS ADMINISTRATIVOS</t>
  </si>
  <si>
    <t>ASISTENTE EN SERVICIOS DE COMUNICACIONES</t>
  </si>
  <si>
    <t>ASISTENTE INFORMÁTICO</t>
  </si>
  <si>
    <t>ASISTENTE JUDICIAL</t>
  </si>
  <si>
    <t>ASISTENTE JUDICIAL - PENAL</t>
  </si>
  <si>
    <t>ASISTENTE JUDICIAL - PROTECCIÓN</t>
  </si>
  <si>
    <t>ASISTENTE JURISDICCIONAL</t>
  </si>
  <si>
    <t>ASISTENTE JURISDICCIONAL DE CUSTODIA DE EXPEDIENTES</t>
  </si>
  <si>
    <t>ASISTENTE JURISDICCIONAL DE JUZGADO</t>
  </si>
  <si>
    <t>ASISTENTE JURISDICCIONAL ITINERANTE</t>
  </si>
  <si>
    <t>ASISTENTE LEGAL</t>
  </si>
  <si>
    <t>ASISTENTE LEGAL DE JUZGADO</t>
  </si>
  <si>
    <t>ASISTENTE SOCIAL</t>
  </si>
  <si>
    <t>AUXILIAR ADMINISTRATIVO</t>
  </si>
  <si>
    <t>AUXILIAR ADMINISTRATIVO I</t>
  </si>
  <si>
    <t>AUXILIAR ADMINISTRATIVO II</t>
  </si>
  <si>
    <t>AUXILIAR EN VIGILANCIA Y CONTROL</t>
  </si>
  <si>
    <t>AUXILIAR JUDICIAL</t>
  </si>
  <si>
    <t>AUXILIAR JUDICIAL - PROTECCIÓN</t>
  </si>
  <si>
    <t>AUXILIAR JUDICIAL I</t>
  </si>
  <si>
    <t>AUXILIAR JURISDICCIONAL ITINERANTE</t>
  </si>
  <si>
    <t>AUXILIAR LEGAL</t>
  </si>
  <si>
    <t>CAJERO</t>
  </si>
  <si>
    <t>CHOFER</t>
  </si>
  <si>
    <t>CHOFER I</t>
  </si>
  <si>
    <t>CONDUCCION DE VEHICULO</t>
  </si>
  <si>
    <t>CONDUCTOR DE VEHÍCULO</t>
  </si>
  <si>
    <t>COORDINADOR(CSJ_UE)</t>
  </si>
  <si>
    <t>COORDINADOR/A DE CAUSA/ AUDIENCIA</t>
  </si>
  <si>
    <t>COORDINADOR/A I</t>
  </si>
  <si>
    <t>EDUCADOR (A) DE APOYO AL EQUIPO MULTIDISCIPLINARIO</t>
  </si>
  <si>
    <t>ESPECIALISTA EN CONTABILIDAD GUBERNAMENTAL</t>
  </si>
  <si>
    <t>ESPECIALISTA JUDICIAL DE AUDIENCIA</t>
  </si>
  <si>
    <t>ESPECIALISTA JUDICIAL DE JUZGADO</t>
  </si>
  <si>
    <t>ESPECIALISTA JUDICIAL DE SALA</t>
  </si>
  <si>
    <t>ESPECIALISTA LEGAL</t>
  </si>
  <si>
    <t>ESPECIALISTA LEGAL DE AUDIENCIA</t>
  </si>
  <si>
    <t>ESPECIALISTA LEGAL DE JUZGADO</t>
  </si>
  <si>
    <t>ESPECIALISTA LEGAL DE SALA</t>
  </si>
  <si>
    <t>JEFE DE UNIDAD</t>
  </si>
  <si>
    <t>JEFE/A DE UNIDAD</t>
  </si>
  <si>
    <t>JUEZ DE PAZ LETRADO</t>
  </si>
  <si>
    <t>JUEZ ESPECIALIZADO</t>
  </si>
  <si>
    <t>JUEZ ESPECIALIZADO 7U-4</t>
  </si>
  <si>
    <t>JUEZ SUPERIOR</t>
  </si>
  <si>
    <t>MADRE CUIDADORA DEL WAWA WASI INSTITUCIONAL</t>
  </si>
  <si>
    <t>MEDICO</t>
  </si>
  <si>
    <t>NOTIFICADOR</t>
  </si>
  <si>
    <t>PERITO JUDICIAL</t>
  </si>
  <si>
    <t>PERSONAL  DE SEGURIDAD</t>
  </si>
  <si>
    <t>PRESIDENTE DE CORTE SUPERIOR</t>
  </si>
  <si>
    <t>PROFESIONAL LEGAL</t>
  </si>
  <si>
    <t>PROFESIONAL LEGAL DE JUZGADO</t>
  </si>
  <si>
    <t>PSICOLOGO</t>
  </si>
  <si>
    <t>RELATOR I</t>
  </si>
  <si>
    <t>RESGUARDO, CUSTODIA Y VIGILANCIA</t>
  </si>
  <si>
    <t>REVISOR</t>
  </si>
  <si>
    <t>SECRETARIO DE SALA</t>
  </si>
  <si>
    <t>SECRETARIO III</t>
  </si>
  <si>
    <t>SECRETARIO JUDICIAL</t>
  </si>
  <si>
    <t>SECRETARIO JUDICIAL I</t>
  </si>
  <si>
    <t>SECRETARIO/A DE JUZGADO - PROTECCIÓN</t>
  </si>
  <si>
    <t>SECRETARIO/A JUDICIAL</t>
  </si>
  <si>
    <t>SEGURIDAD</t>
  </si>
  <si>
    <t>TECNICO ADMINISTRATIVO I</t>
  </si>
  <si>
    <t>TECNICO ADMINISTRATIVO II</t>
  </si>
  <si>
    <t>TECNICO JUDICIAL</t>
  </si>
  <si>
    <t>TECNICO JUDICIAL I</t>
  </si>
  <si>
    <t>TRABAJADOR SOCIAL</t>
  </si>
  <si>
    <t>TRABAJADORA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</si>
</sst>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i/>
      <sz val="8"/>
      <color rgb="FF595959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Segoe UI"/>
      <family val="2"/>
    </font>
    <font>
      <u/>
      <sz val="11"/>
      <color theme="1"/>
      <name val="Calibri"/>
      <family val="2"/>
      <charset val="1"/>
    </font>
    <font>
      <sz val="9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4A3A8A"/>
        <bgColor rgb="FF1F4E79"/>
      </patternFill>
    </fill>
    <fill>
      <patternFill patternType="solid">
        <fgColor rgb="FFD6E4F0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DCEF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6E4F0"/>
      </patternFill>
    </fill>
    <fill>
      <patternFill patternType="solid">
        <fgColor rgb="FFEDEDED"/>
        <bgColor rgb="FFF2F2F2"/>
      </patternFill>
    </fill>
    <fill>
      <patternFill patternType="solid">
        <fgColor rgb="FFF4CCCC"/>
        <bgColor rgb="FFFFE0B2"/>
      </patternFill>
    </fill>
    <fill>
      <patternFill patternType="solid">
        <fgColor rgb="FFFFE0B2"/>
        <bgColor rgb="FFFCE4D6"/>
      </patternFill>
    </fill>
    <fill>
      <patternFill patternType="solid">
        <fgColor rgb="FF1F4E79"/>
        <bgColor rgb="FF0D6B6E"/>
      </patternFill>
    </fill>
    <fill>
      <patternFill patternType="solid">
        <fgColor rgb="FF595959"/>
        <bgColor rgb="FF4A3A8A"/>
      </patternFill>
    </fill>
    <fill>
      <patternFill patternType="solid">
        <fgColor rgb="FFF2F2F2"/>
        <bgColor rgb="FFFCE4EC"/>
      </patternFill>
    </fill>
    <fill>
      <patternFill patternType="solid">
        <fgColor rgb="FFD6E4F0"/>
        <bgColor rgb="FFE2DCEF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1D6B4A"/>
        <bgColor rgb="FF0D6B6E"/>
      </patternFill>
    </fill>
    <fill>
      <patternFill patternType="solid">
        <fgColor rgb="FF843C0C"/>
        <bgColor rgb="FF7B3F00"/>
      </patternFill>
    </fill>
    <fill>
      <patternFill patternType="solid">
        <fgColor rgb="FF0D6B6E"/>
        <bgColor rgb="FF1D6B4A"/>
      </patternFill>
    </fill>
    <fill>
      <patternFill patternType="solid">
        <fgColor rgb="FF7B3F00"/>
        <bgColor rgb="FF843C0C"/>
      </patternFill>
    </fill>
    <fill>
      <patternFill patternType="solid">
        <fgColor rgb="FF5C3317"/>
        <bgColor rgb="FF7B3F00"/>
      </patternFill>
    </fill>
    <fill>
      <patternFill patternType="solid">
        <fgColor rgb="FFB8860B"/>
        <bgColor rgb="FFFF99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DEDED"/>
      </patternFill>
    </fill>
    <fill>
      <patternFill patternType="solid">
        <fgColor rgb="FF1F4E79"/>
        <bgColor rgb="FF1D6B4A"/>
      </patternFill>
    </fill>
    <fill>
      <patternFill patternType="solid">
        <fgColor rgb="FF1D6B4A"/>
        <bgColor rgb="FF1F4E7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3" fontId="0" fillId="0" borderId="0" xfId="0" applyNumberFormat="1"/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3" fontId="5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3" fontId="5" fillId="6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4" fillId="7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4" fillId="8" borderId="1" xfId="1" applyFont="1" applyFill="1" applyBorder="1" applyAlignment="1">
      <alignment horizontal="left" vertical="center"/>
    </xf>
    <xf numFmtId="0" fontId="4" fillId="9" borderId="1" xfId="1" applyFont="1" applyFill="1" applyBorder="1" applyAlignment="1">
      <alignment horizontal="left" vertical="center"/>
    </xf>
    <xf numFmtId="0" fontId="4" fillId="10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left" vertical="center"/>
    </xf>
    <xf numFmtId="0" fontId="4" fillId="12" borderId="1" xfId="1" applyFont="1" applyFill="1" applyBorder="1" applyAlignment="1">
      <alignment horizontal="left" vertical="center"/>
    </xf>
    <xf numFmtId="164" fontId="5" fillId="8" borderId="1" xfId="1" applyNumberFormat="1" applyFont="1" applyFill="1" applyBorder="1" applyAlignment="1">
      <alignment horizontal="center"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left" vertical="center" wrapText="1"/>
    </xf>
    <xf numFmtId="0" fontId="8" fillId="16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17" borderId="1" xfId="1" applyFont="1" applyFill="1" applyBorder="1" applyAlignment="1">
      <alignment horizontal="center" vertical="center" wrapText="1"/>
    </xf>
    <xf numFmtId="0" fontId="8" fillId="18" borderId="1" xfId="1" applyFont="1" applyFill="1" applyBorder="1" applyAlignment="1">
      <alignment horizontal="center" vertical="center" wrapText="1"/>
    </xf>
    <xf numFmtId="0" fontId="6" fillId="19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6" fillId="20" borderId="1" xfId="1" applyFont="1" applyFill="1" applyBorder="1" applyAlignment="1">
      <alignment horizontal="left" vertical="center" wrapText="1"/>
    </xf>
    <xf numFmtId="0" fontId="6" fillId="21" borderId="1" xfId="1" applyFont="1" applyFill="1" applyBorder="1" applyAlignment="1">
      <alignment horizontal="left" vertical="center" wrapText="1"/>
    </xf>
    <xf numFmtId="0" fontId="6" fillId="14" borderId="1" xfId="1" applyFont="1" applyFill="1" applyBorder="1" applyAlignment="1">
      <alignment horizontal="left" vertical="center" wrapText="1"/>
    </xf>
    <xf numFmtId="0" fontId="6" fillId="22" borderId="1" xfId="1" applyFont="1" applyFill="1" applyBorder="1" applyAlignment="1">
      <alignment horizontal="left" vertical="center" wrapText="1"/>
    </xf>
    <xf numFmtId="0" fontId="6" fillId="23" borderId="1" xfId="1" applyFont="1" applyFill="1" applyBorder="1" applyAlignment="1">
      <alignment horizontal="left"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9" fillId="24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8" fillId="15" borderId="1" xfId="1" applyFont="1" applyFill="1" applyBorder="1" applyAlignment="1">
      <alignment horizontal="center" vertical="center" wrapText="1"/>
    </xf>
    <xf numFmtId="0" fontId="9" fillId="19" borderId="1" xfId="1" applyFont="1" applyFill="1" applyBorder="1" applyAlignment="1">
      <alignment horizontal="center" vertical="center" wrapText="1"/>
    </xf>
    <xf numFmtId="0" fontId="9" fillId="25" borderId="1" xfId="1" applyFont="1" applyFill="1" applyBorder="1" applyAlignment="1">
      <alignment horizontal="center" vertical="center" wrapText="1"/>
    </xf>
    <xf numFmtId="0" fontId="9" fillId="14" borderId="1" xfId="1" applyFont="1" applyFill="1" applyBorder="1" applyAlignment="1">
      <alignment horizontal="center" vertical="center" wrapText="1"/>
    </xf>
    <xf numFmtId="0" fontId="7" fillId="16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7" fillId="17" borderId="1" xfId="1" applyFont="1" applyFill="1" applyBorder="1" applyAlignment="1">
      <alignment horizontal="center" vertical="center" wrapText="1"/>
    </xf>
    <xf numFmtId="0" fontId="6" fillId="25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25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center"/>
    </xf>
    <xf numFmtId="0" fontId="5" fillId="7" borderId="1" xfId="1" applyFont="1" applyFill="1" applyBorder="1" applyAlignment="1">
      <alignment horizontal="left" vertical="center"/>
    </xf>
    <xf numFmtId="0" fontId="5" fillId="26" borderId="1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7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1" borderId="1" xfId="1" applyFont="1" applyFill="1" applyBorder="1" applyAlignment="1">
      <alignment horizontal="left" vertical="center" wrapText="1"/>
    </xf>
    <xf numFmtId="0" fontId="4" fillId="26" borderId="1" xfId="1" applyFont="1" applyFill="1" applyBorder="1" applyAlignment="1">
      <alignment horizontal="left" vertical="center" wrapText="1"/>
    </xf>
    <xf numFmtId="3" fontId="4" fillId="26" borderId="1" xfId="1" applyNumberFormat="1" applyFont="1" applyFill="1" applyBorder="1" applyAlignment="1">
      <alignment horizontal="center" vertical="center" wrapText="1"/>
    </xf>
    <xf numFmtId="164" fontId="4" fillId="26" borderId="1" xfId="1" applyNumberFormat="1" applyFont="1" applyFill="1" applyBorder="1" applyAlignment="1">
      <alignment horizontal="center" vertical="center" wrapText="1"/>
    </xf>
    <xf numFmtId="164" fontId="5" fillId="7" borderId="1" xfId="1" applyNumberFormat="1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/>
    </xf>
    <xf numFmtId="3" fontId="5" fillId="26" borderId="1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4" fillId="0" borderId="0" xfId="1" applyFont="1"/>
    <xf numFmtId="0" fontId="15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9" fillId="25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left" vertical="center" wrapText="1"/>
    </xf>
    <xf numFmtId="0" fontId="8" fillId="18" borderId="2" xfId="1" applyFont="1" applyFill="1" applyBorder="1" applyAlignment="1">
      <alignment horizontal="center" vertical="center" wrapText="1"/>
    </xf>
    <xf numFmtId="0" fontId="8" fillId="15" borderId="2" xfId="1" applyFont="1" applyFill="1" applyBorder="1" applyAlignment="1">
      <alignment horizontal="center" vertical="center" wrapText="1"/>
    </xf>
    <xf numFmtId="1" fontId="7" fillId="15" borderId="1" xfId="1" applyNumberFormat="1" applyFont="1" applyFill="1" applyBorder="1" applyAlignment="1">
      <alignment horizontal="center" vertical="center" wrapText="1"/>
    </xf>
    <xf numFmtId="0" fontId="4" fillId="26" borderId="1" xfId="1" applyFont="1" applyFill="1" applyBorder="1" applyAlignment="1">
      <alignment horizontal="left" vertical="center"/>
    </xf>
    <xf numFmtId="3" fontId="4" fillId="26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3" fontId="4" fillId="4" borderId="1" xfId="1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0" fontId="3" fillId="2" borderId="3" xfId="1" applyFont="1" applyFill="1" applyBorder="1" applyAlignment="1">
      <alignment horizontal="center" vertical="center" wrapText="1"/>
    </xf>
    <xf numFmtId="0" fontId="0" fillId="0" borderId="5" xfId="0" applyBorder="1"/>
    <xf numFmtId="0" fontId="2" fillId="13" borderId="0" xfId="1" applyFont="1" applyFill="1" applyAlignment="1">
      <alignment horizontal="center" vertical="center" wrapText="1"/>
    </xf>
    <xf numFmtId="0" fontId="3" fillId="22" borderId="2" xfId="1" applyFont="1" applyFill="1" applyBorder="1" applyAlignment="1">
      <alignment horizontal="left" vertical="center" wrapText="1"/>
    </xf>
    <xf numFmtId="0" fontId="0" fillId="0" borderId="6" xfId="0" applyBorder="1"/>
    <xf numFmtId="0" fontId="3" fillId="20" borderId="2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3" borderId="2" xfId="1" applyFont="1" applyFill="1" applyBorder="1" applyAlignment="1">
      <alignment horizontal="left" vertical="center" wrapText="1"/>
    </xf>
    <xf numFmtId="0" fontId="3" fillId="13" borderId="2" xfId="1" applyFont="1" applyFill="1" applyBorder="1" applyAlignment="1">
      <alignment horizontal="left" vertical="center" wrapText="1"/>
    </xf>
    <xf numFmtId="0" fontId="3" fillId="19" borderId="2" xfId="1" applyFont="1" applyFill="1" applyBorder="1" applyAlignment="1">
      <alignment horizontal="left" vertical="center" wrapText="1"/>
    </xf>
    <xf numFmtId="0" fontId="3" fillId="14" borderId="2" xfId="1" applyFont="1" applyFill="1" applyBorder="1" applyAlignment="1">
      <alignment horizontal="left" vertical="center" wrapText="1"/>
    </xf>
    <xf numFmtId="0" fontId="3" fillId="21" borderId="2" xfId="1" applyFont="1" applyFill="1" applyBorder="1" applyAlignment="1">
      <alignment horizontal="left" vertical="center" wrapText="1"/>
    </xf>
    <xf numFmtId="0" fontId="3" fillId="25" borderId="2" xfId="1" applyFont="1" applyFill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3" fillId="24" borderId="2" xfId="1" applyFont="1" applyFill="1" applyBorder="1" applyAlignment="1">
      <alignment horizontal="left" vertical="center" wrapText="1"/>
    </xf>
    <xf numFmtId="0" fontId="12" fillId="25" borderId="0" xfId="1" applyFont="1" applyFill="1" applyAlignment="1">
      <alignment horizontal="center" vertical="center" wrapText="1"/>
    </xf>
    <xf numFmtId="0" fontId="10" fillId="0" borderId="0" xfId="1" applyFont="1"/>
    <xf numFmtId="0" fontId="11" fillId="27" borderId="0" xfId="1" applyFont="1" applyFill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0" fillId="0" borderId="4" xfId="0" applyBorder="1"/>
    <xf numFmtId="0" fontId="2" fillId="27" borderId="0" xfId="1" applyFont="1" applyFill="1" applyAlignment="1">
      <alignment horizontal="center" vertical="center" wrapText="1"/>
    </xf>
    <xf numFmtId="0" fontId="3" fillId="28" borderId="2" xfId="1" applyFont="1" applyFill="1" applyBorder="1" applyAlignment="1">
      <alignment horizontal="center" vertical="center" wrapText="1"/>
    </xf>
    <xf numFmtId="0" fontId="3" fillId="28" borderId="1" xfId="1" applyFont="1" applyFill="1" applyBorder="1" applyAlignment="1">
      <alignment horizontal="center" vertical="center" wrapText="1"/>
    </xf>
    <xf numFmtId="0" fontId="0" fillId="0" borderId="7" xfId="0" applyBorder="1"/>
  </cellXfs>
  <cellStyles count="2">
    <cellStyle name="Normal" xfId="0" builtinId="0"/>
    <cellStyle name="Normal 2" xfId="1" xr:uid="{00000000-0005-0000-0000-000001000000}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:E59" totalsRowShown="0">
  <autoFilter ref="A1:E59" xr:uid="{00000000-0009-0000-0100-000001000000}"/>
  <tableColumns count="5">
    <tableColumn id="1" xr3:uid="{00000000-0010-0000-0000-000001000000}" name="Año"/>
    <tableColumn id="2" xr3:uid="{00000000-0010-0000-0000-000002000000}" name="Especialidad"/>
    <tableColumn id="3" xr3:uid="{00000000-0010-0000-0000-000003000000}" name="Ingresos" dataDxfId="1"/>
    <tableColumn id="4" xr3:uid="{00000000-0010-0000-0000-000004000000}" name="Carga Procesal" dataDxfId="0"/>
    <tableColumn id="5" xr3:uid="{00000000-0010-0000-0000-000005000000}" name="Resuelto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8"/>
  </sheetPr>
  <dimension ref="A1:E59"/>
  <sheetViews>
    <sheetView zoomScale="250" zoomScaleNormal="250" workbookViewId="0"/>
  </sheetViews>
  <sheetFormatPr baseColWidth="10" defaultRowHeight="15" x14ac:dyDescent="0.25"/>
  <cols>
    <col min="1" max="1" width="8.5703125" bestFit="1" customWidth="1"/>
    <col min="2" max="2" width="17.140625" bestFit="1" customWidth="1"/>
    <col min="4" max="4" width="15.85546875" customWidth="1"/>
    <col min="5" max="5" width="11.7109375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>
        <v>2017</v>
      </c>
      <c r="B2" t="s">
        <v>24</v>
      </c>
      <c r="C2" s="1">
        <v>14257</v>
      </c>
      <c r="D2" s="1">
        <v>23698</v>
      </c>
      <c r="E2">
        <v>13223</v>
      </c>
    </row>
    <row r="3" spans="1:5" x14ac:dyDescent="0.25">
      <c r="A3">
        <v>2017</v>
      </c>
      <c r="B3" t="s">
        <v>25</v>
      </c>
      <c r="C3" s="1">
        <v>26130</v>
      </c>
      <c r="D3" s="1">
        <v>37058</v>
      </c>
      <c r="E3">
        <v>26249</v>
      </c>
    </row>
    <row r="4" spans="1:5" x14ac:dyDescent="0.25">
      <c r="A4">
        <v>2017</v>
      </c>
      <c r="B4" t="s">
        <v>26</v>
      </c>
      <c r="C4" s="1">
        <v>13863</v>
      </c>
      <c r="D4" s="1">
        <v>19895</v>
      </c>
      <c r="E4">
        <v>10575</v>
      </c>
    </row>
    <row r="5" spans="1:5" x14ac:dyDescent="0.25">
      <c r="A5">
        <v>2017</v>
      </c>
      <c r="B5" t="s">
        <v>27</v>
      </c>
      <c r="C5" s="1">
        <v>23813</v>
      </c>
      <c r="D5" s="1">
        <v>31897</v>
      </c>
      <c r="E5" s="1">
        <v>21771</v>
      </c>
    </row>
    <row r="6" spans="1:5" x14ac:dyDescent="0.25">
      <c r="A6">
        <v>2018</v>
      </c>
      <c r="B6" t="s">
        <v>24</v>
      </c>
      <c r="C6" s="1">
        <v>9877</v>
      </c>
      <c r="D6" s="1">
        <v>17023</v>
      </c>
      <c r="E6">
        <v>10060</v>
      </c>
    </row>
    <row r="7" spans="1:5" x14ac:dyDescent="0.25">
      <c r="A7">
        <v>2018</v>
      </c>
      <c r="B7" t="s">
        <v>28</v>
      </c>
      <c r="C7">
        <v>0</v>
      </c>
      <c r="D7">
        <v>0</v>
      </c>
      <c r="E7">
        <v>0</v>
      </c>
    </row>
    <row r="8" spans="1:5" x14ac:dyDescent="0.25">
      <c r="A8">
        <v>2018</v>
      </c>
      <c r="B8" t="s">
        <v>29</v>
      </c>
      <c r="C8">
        <v>0</v>
      </c>
      <c r="D8">
        <v>0</v>
      </c>
      <c r="E8">
        <v>0</v>
      </c>
    </row>
    <row r="9" spans="1:5" x14ac:dyDescent="0.25">
      <c r="A9">
        <v>2018</v>
      </c>
      <c r="B9" t="s">
        <v>25</v>
      </c>
      <c r="C9" s="1">
        <v>21971</v>
      </c>
      <c r="D9" s="1">
        <v>29955</v>
      </c>
      <c r="E9">
        <v>22084</v>
      </c>
    </row>
    <row r="10" spans="1:5" x14ac:dyDescent="0.25">
      <c r="A10">
        <v>2018</v>
      </c>
      <c r="B10" t="s">
        <v>26</v>
      </c>
      <c r="C10" s="1">
        <v>13879</v>
      </c>
      <c r="D10" s="1">
        <v>20040</v>
      </c>
      <c r="E10" s="1">
        <v>11180</v>
      </c>
    </row>
    <row r="11" spans="1:5" x14ac:dyDescent="0.25">
      <c r="A11">
        <v>2018</v>
      </c>
      <c r="B11" t="s">
        <v>27</v>
      </c>
      <c r="C11" s="1">
        <v>16239</v>
      </c>
      <c r="D11" s="1">
        <v>23574</v>
      </c>
      <c r="E11" s="1">
        <v>13901</v>
      </c>
    </row>
    <row r="12" spans="1:5" x14ac:dyDescent="0.25">
      <c r="A12">
        <v>2019</v>
      </c>
      <c r="B12" t="s">
        <v>24</v>
      </c>
      <c r="C12" s="1">
        <v>9160</v>
      </c>
      <c r="D12" s="1">
        <v>16003</v>
      </c>
      <c r="E12">
        <v>8656</v>
      </c>
    </row>
    <row r="13" spans="1:5" x14ac:dyDescent="0.25">
      <c r="A13">
        <v>2019</v>
      </c>
      <c r="B13" t="s">
        <v>28</v>
      </c>
      <c r="C13">
        <v>0</v>
      </c>
      <c r="D13">
        <v>0</v>
      </c>
      <c r="E13">
        <v>0</v>
      </c>
    </row>
    <row r="14" spans="1:5" x14ac:dyDescent="0.25">
      <c r="A14">
        <v>2019</v>
      </c>
      <c r="B14" t="s">
        <v>29</v>
      </c>
      <c r="C14">
        <v>1</v>
      </c>
      <c r="D14">
        <v>1</v>
      </c>
      <c r="E14">
        <v>0</v>
      </c>
    </row>
    <row r="15" spans="1:5" x14ac:dyDescent="0.25">
      <c r="A15">
        <v>2019</v>
      </c>
      <c r="B15" t="s">
        <v>25</v>
      </c>
      <c r="C15" s="1">
        <v>23892</v>
      </c>
      <c r="D15" s="1">
        <v>30471</v>
      </c>
      <c r="E15">
        <v>22614</v>
      </c>
    </row>
    <row r="16" spans="1:5" x14ac:dyDescent="0.25">
      <c r="A16">
        <v>2019</v>
      </c>
      <c r="B16" t="s">
        <v>26</v>
      </c>
      <c r="C16" s="1">
        <v>12931</v>
      </c>
      <c r="D16" s="1">
        <v>19394</v>
      </c>
      <c r="E16" s="1">
        <v>10965</v>
      </c>
    </row>
    <row r="17" spans="1:5" x14ac:dyDescent="0.25">
      <c r="A17">
        <v>2019</v>
      </c>
      <c r="B17" t="s">
        <v>27</v>
      </c>
      <c r="C17" s="1">
        <v>19218</v>
      </c>
      <c r="D17" s="1">
        <v>26512</v>
      </c>
      <c r="E17" s="1">
        <v>15402</v>
      </c>
    </row>
    <row r="18" spans="1:5" x14ac:dyDescent="0.25">
      <c r="A18">
        <v>2020</v>
      </c>
      <c r="B18" t="s">
        <v>24</v>
      </c>
      <c r="C18" s="1">
        <v>4087</v>
      </c>
      <c r="D18" s="1">
        <v>10894</v>
      </c>
      <c r="E18">
        <v>4128</v>
      </c>
    </row>
    <row r="19" spans="1:5" x14ac:dyDescent="0.25">
      <c r="A19">
        <v>2020</v>
      </c>
      <c r="B19" t="s">
        <v>28</v>
      </c>
      <c r="C19">
        <v>0</v>
      </c>
      <c r="D19">
        <v>0</v>
      </c>
      <c r="E19">
        <v>0</v>
      </c>
    </row>
    <row r="20" spans="1:5" x14ac:dyDescent="0.25">
      <c r="A20">
        <v>2020</v>
      </c>
      <c r="B20" t="s">
        <v>29</v>
      </c>
      <c r="C20">
        <v>3</v>
      </c>
      <c r="D20">
        <v>5</v>
      </c>
      <c r="E20">
        <v>0</v>
      </c>
    </row>
    <row r="21" spans="1:5" x14ac:dyDescent="0.25">
      <c r="A21">
        <v>2020</v>
      </c>
      <c r="B21" t="s">
        <v>25</v>
      </c>
      <c r="C21" s="1">
        <v>13959</v>
      </c>
      <c r="D21" s="1">
        <v>21076</v>
      </c>
      <c r="E21">
        <v>13403</v>
      </c>
    </row>
    <row r="22" spans="1:5" x14ac:dyDescent="0.25">
      <c r="A22">
        <v>2020</v>
      </c>
      <c r="B22" t="s">
        <v>26</v>
      </c>
      <c r="C22" s="1">
        <v>6665</v>
      </c>
      <c r="D22" s="1">
        <v>13349</v>
      </c>
      <c r="E22" s="1">
        <v>5016</v>
      </c>
    </row>
    <row r="23" spans="1:5" x14ac:dyDescent="0.25">
      <c r="A23">
        <v>2020</v>
      </c>
      <c r="B23" t="s">
        <v>27</v>
      </c>
      <c r="C23" s="1">
        <v>9746</v>
      </c>
      <c r="D23" s="1">
        <v>19179</v>
      </c>
      <c r="E23">
        <v>7525</v>
      </c>
    </row>
    <row r="24" spans="1:5" x14ac:dyDescent="0.25">
      <c r="A24">
        <v>2021</v>
      </c>
      <c r="B24" t="s">
        <v>24</v>
      </c>
      <c r="C24" s="1">
        <v>10265</v>
      </c>
      <c r="D24" s="1">
        <v>15760</v>
      </c>
      <c r="E24">
        <v>8205</v>
      </c>
    </row>
    <row r="25" spans="1:5" x14ac:dyDescent="0.25">
      <c r="A25">
        <v>2021</v>
      </c>
      <c r="B25" t="s">
        <v>28</v>
      </c>
      <c r="C25">
        <v>0</v>
      </c>
      <c r="D25">
        <v>0</v>
      </c>
      <c r="E25">
        <v>0</v>
      </c>
    </row>
    <row r="26" spans="1:5" x14ac:dyDescent="0.25">
      <c r="A26">
        <v>2021</v>
      </c>
      <c r="B26" t="s">
        <v>29</v>
      </c>
      <c r="C26">
        <v>18</v>
      </c>
      <c r="D26">
        <v>23</v>
      </c>
      <c r="E26">
        <v>12</v>
      </c>
    </row>
    <row r="27" spans="1:5" x14ac:dyDescent="0.25">
      <c r="A27">
        <v>2021</v>
      </c>
      <c r="B27" t="s">
        <v>25</v>
      </c>
      <c r="C27" s="1">
        <v>20282</v>
      </c>
      <c r="D27" s="1">
        <v>27130</v>
      </c>
      <c r="E27">
        <v>19152</v>
      </c>
    </row>
    <row r="28" spans="1:5" x14ac:dyDescent="0.25">
      <c r="A28">
        <v>2021</v>
      </c>
      <c r="B28" t="s">
        <v>26</v>
      </c>
      <c r="C28" s="1">
        <v>12302</v>
      </c>
      <c r="D28" s="1">
        <v>17484</v>
      </c>
      <c r="E28" s="1">
        <v>11390</v>
      </c>
    </row>
    <row r="29" spans="1:5" x14ac:dyDescent="0.25">
      <c r="A29">
        <v>2021</v>
      </c>
      <c r="B29" t="s">
        <v>27</v>
      </c>
      <c r="C29" s="1">
        <v>26483</v>
      </c>
      <c r="D29" s="1">
        <v>36227</v>
      </c>
      <c r="E29" s="1">
        <v>16696</v>
      </c>
    </row>
    <row r="30" spans="1:5" x14ac:dyDescent="0.25">
      <c r="A30">
        <v>2022</v>
      </c>
      <c r="B30" t="s">
        <v>24</v>
      </c>
      <c r="C30" s="1">
        <v>10529</v>
      </c>
      <c r="D30" s="1">
        <v>17387</v>
      </c>
      <c r="E30" s="1">
        <v>10042</v>
      </c>
    </row>
    <row r="31" spans="1:5" x14ac:dyDescent="0.25">
      <c r="A31">
        <v>2022</v>
      </c>
      <c r="B31" t="s">
        <v>28</v>
      </c>
      <c r="C31">
        <v>0</v>
      </c>
      <c r="D31">
        <v>0</v>
      </c>
      <c r="E31">
        <v>0</v>
      </c>
    </row>
    <row r="32" spans="1:5" x14ac:dyDescent="0.25">
      <c r="A32">
        <v>2022</v>
      </c>
      <c r="B32" t="s">
        <v>29</v>
      </c>
      <c r="C32">
        <v>64</v>
      </c>
      <c r="D32">
        <v>75</v>
      </c>
      <c r="E32">
        <v>45</v>
      </c>
    </row>
    <row r="33" spans="1:5" x14ac:dyDescent="0.25">
      <c r="A33">
        <v>2022</v>
      </c>
      <c r="B33" t="s">
        <v>25</v>
      </c>
      <c r="C33" s="1">
        <v>20203</v>
      </c>
      <c r="D33" s="1">
        <v>27590</v>
      </c>
      <c r="E33" s="1">
        <v>20545</v>
      </c>
    </row>
    <row r="34" spans="1:5" x14ac:dyDescent="0.25">
      <c r="A34">
        <v>2022</v>
      </c>
      <c r="B34" t="s">
        <v>26</v>
      </c>
      <c r="C34" s="1">
        <v>12326</v>
      </c>
      <c r="D34" s="1">
        <v>16407</v>
      </c>
      <c r="E34" s="1">
        <v>11705</v>
      </c>
    </row>
    <row r="35" spans="1:5" x14ac:dyDescent="0.25">
      <c r="A35">
        <v>2022</v>
      </c>
      <c r="B35" t="s">
        <v>27</v>
      </c>
      <c r="C35" s="1">
        <v>25402</v>
      </c>
      <c r="D35" s="1">
        <v>36592</v>
      </c>
      <c r="E35" s="1">
        <v>20372</v>
      </c>
    </row>
    <row r="36" spans="1:5" x14ac:dyDescent="0.25">
      <c r="A36">
        <v>2023</v>
      </c>
      <c r="B36" t="s">
        <v>24</v>
      </c>
      <c r="C36" s="1">
        <v>12224</v>
      </c>
      <c r="D36" s="1">
        <v>18198</v>
      </c>
      <c r="E36" s="1">
        <v>10941</v>
      </c>
    </row>
    <row r="37" spans="1:5" x14ac:dyDescent="0.25">
      <c r="A37">
        <v>2023</v>
      </c>
      <c r="B37" t="s">
        <v>28</v>
      </c>
      <c r="C37">
        <v>190</v>
      </c>
      <c r="D37">
        <v>190</v>
      </c>
      <c r="E37">
        <v>77</v>
      </c>
    </row>
    <row r="38" spans="1:5" x14ac:dyDescent="0.25">
      <c r="A38">
        <v>2023</v>
      </c>
      <c r="B38" t="s">
        <v>29</v>
      </c>
      <c r="C38">
        <v>41</v>
      </c>
      <c r="D38">
        <v>80</v>
      </c>
      <c r="E38">
        <v>58</v>
      </c>
    </row>
    <row r="39" spans="1:5" x14ac:dyDescent="0.25">
      <c r="A39">
        <v>2023</v>
      </c>
      <c r="B39" t="s">
        <v>25</v>
      </c>
      <c r="C39" s="1">
        <v>21877</v>
      </c>
      <c r="D39" s="1">
        <v>28565</v>
      </c>
      <c r="E39" s="1">
        <v>21388</v>
      </c>
    </row>
    <row r="40" spans="1:5" x14ac:dyDescent="0.25">
      <c r="A40">
        <v>2023</v>
      </c>
      <c r="B40" t="s">
        <v>26</v>
      </c>
      <c r="C40" s="1">
        <v>12599</v>
      </c>
      <c r="D40" s="1">
        <v>15788</v>
      </c>
      <c r="E40" s="1">
        <v>11314</v>
      </c>
    </row>
    <row r="41" spans="1:5" x14ac:dyDescent="0.25">
      <c r="A41">
        <v>2023</v>
      </c>
      <c r="B41" t="s">
        <v>27</v>
      </c>
      <c r="C41" s="1">
        <v>27499</v>
      </c>
      <c r="D41" s="1">
        <v>39091</v>
      </c>
      <c r="E41" s="1">
        <v>22404</v>
      </c>
    </row>
    <row r="42" spans="1:5" x14ac:dyDescent="0.25">
      <c r="A42">
        <v>2024</v>
      </c>
      <c r="B42" t="s">
        <v>24</v>
      </c>
      <c r="C42" s="1">
        <v>11916</v>
      </c>
      <c r="D42" s="1">
        <v>17512</v>
      </c>
      <c r="E42" s="1">
        <v>10990</v>
      </c>
    </row>
    <row r="43" spans="1:5" x14ac:dyDescent="0.25">
      <c r="A43">
        <v>2024</v>
      </c>
      <c r="B43" t="s">
        <v>28</v>
      </c>
      <c r="C43" s="1">
        <v>1056</v>
      </c>
      <c r="D43">
        <v>1153</v>
      </c>
      <c r="E43">
        <v>914</v>
      </c>
    </row>
    <row r="44" spans="1:5" x14ac:dyDescent="0.25">
      <c r="A44">
        <v>2024</v>
      </c>
      <c r="B44" t="s">
        <v>29</v>
      </c>
      <c r="C44">
        <v>27</v>
      </c>
      <c r="D44">
        <v>54</v>
      </c>
      <c r="E44">
        <v>49</v>
      </c>
    </row>
    <row r="45" spans="1:5" x14ac:dyDescent="0.25">
      <c r="A45">
        <v>2024</v>
      </c>
      <c r="B45" t="s">
        <v>25</v>
      </c>
      <c r="C45" s="1">
        <v>20367</v>
      </c>
      <c r="D45" s="1">
        <v>27153</v>
      </c>
      <c r="E45" s="1">
        <v>20472</v>
      </c>
    </row>
    <row r="46" spans="1:5" x14ac:dyDescent="0.25">
      <c r="A46">
        <v>2024</v>
      </c>
      <c r="B46" t="s">
        <v>26</v>
      </c>
      <c r="C46" s="1">
        <v>13444</v>
      </c>
      <c r="D46" s="1">
        <v>17210</v>
      </c>
      <c r="E46" s="1">
        <v>12072</v>
      </c>
    </row>
    <row r="47" spans="1:5" x14ac:dyDescent="0.25">
      <c r="A47">
        <v>2024</v>
      </c>
      <c r="B47" t="s">
        <v>27</v>
      </c>
      <c r="C47" s="1">
        <v>24880</v>
      </c>
      <c r="D47" s="1">
        <v>36847</v>
      </c>
      <c r="E47" s="1">
        <v>22974</v>
      </c>
    </row>
    <row r="48" spans="1:5" x14ac:dyDescent="0.25">
      <c r="A48">
        <v>2025</v>
      </c>
      <c r="B48" t="s">
        <v>24</v>
      </c>
      <c r="C48" s="1">
        <v>11266</v>
      </c>
      <c r="D48" s="1">
        <v>17236</v>
      </c>
      <c r="E48" s="1">
        <v>10925</v>
      </c>
    </row>
    <row r="49" spans="1:5" x14ac:dyDescent="0.25">
      <c r="A49">
        <v>2025</v>
      </c>
      <c r="B49" t="s">
        <v>28</v>
      </c>
      <c r="C49" s="1">
        <v>1496</v>
      </c>
      <c r="D49">
        <v>1696</v>
      </c>
      <c r="E49">
        <v>1379</v>
      </c>
    </row>
    <row r="50" spans="1:5" x14ac:dyDescent="0.25">
      <c r="A50">
        <v>2025</v>
      </c>
      <c r="B50" t="s">
        <v>29</v>
      </c>
      <c r="C50">
        <v>80</v>
      </c>
      <c r="D50">
        <v>110</v>
      </c>
      <c r="E50">
        <v>42</v>
      </c>
    </row>
    <row r="51" spans="1:5" x14ac:dyDescent="0.25">
      <c r="A51">
        <v>2025</v>
      </c>
      <c r="B51" t="s">
        <v>25</v>
      </c>
      <c r="C51" s="1">
        <v>20061</v>
      </c>
      <c r="D51" s="1">
        <v>26880</v>
      </c>
      <c r="E51" s="1">
        <v>20656</v>
      </c>
    </row>
    <row r="52" spans="1:5" x14ac:dyDescent="0.25">
      <c r="A52">
        <v>2025</v>
      </c>
      <c r="B52" t="s">
        <v>26</v>
      </c>
      <c r="C52" s="1">
        <v>12321</v>
      </c>
      <c r="D52" s="1">
        <v>16504</v>
      </c>
      <c r="E52" s="1">
        <v>11673</v>
      </c>
    </row>
    <row r="53" spans="1:5" x14ac:dyDescent="0.25">
      <c r="A53">
        <v>2025</v>
      </c>
      <c r="B53" t="s">
        <v>27</v>
      </c>
      <c r="C53" s="1">
        <v>23495</v>
      </c>
      <c r="D53" s="1">
        <v>36023</v>
      </c>
      <c r="E53" s="1">
        <v>22097</v>
      </c>
    </row>
    <row r="54" spans="1:5" x14ac:dyDescent="0.25">
      <c r="A54">
        <v>2026</v>
      </c>
      <c r="B54" t="s">
        <v>24</v>
      </c>
      <c r="C54" s="1">
        <v>2609</v>
      </c>
      <c r="D54" s="1">
        <v>8500</v>
      </c>
      <c r="E54">
        <v>2103</v>
      </c>
    </row>
    <row r="55" spans="1:5" x14ac:dyDescent="0.25">
      <c r="A55">
        <v>2026</v>
      </c>
      <c r="B55" t="s">
        <v>28</v>
      </c>
      <c r="C55">
        <v>281</v>
      </c>
      <c r="D55">
        <v>555</v>
      </c>
      <c r="E55">
        <v>261</v>
      </c>
    </row>
    <row r="56" spans="1:5" x14ac:dyDescent="0.25">
      <c r="A56">
        <v>2026</v>
      </c>
      <c r="B56" t="s">
        <v>29</v>
      </c>
      <c r="C56">
        <v>9</v>
      </c>
      <c r="D56">
        <v>45</v>
      </c>
      <c r="E56">
        <v>12</v>
      </c>
    </row>
    <row r="57" spans="1:5" x14ac:dyDescent="0.25">
      <c r="A57">
        <v>2026</v>
      </c>
      <c r="B57" t="s">
        <v>25</v>
      </c>
      <c r="C57" s="1">
        <v>5073</v>
      </c>
      <c r="D57" s="1">
        <v>10965</v>
      </c>
      <c r="E57" s="1">
        <v>4538</v>
      </c>
    </row>
    <row r="58" spans="1:5" x14ac:dyDescent="0.25">
      <c r="A58">
        <v>2026</v>
      </c>
      <c r="B58" t="s">
        <v>26</v>
      </c>
      <c r="C58" s="1">
        <v>2827</v>
      </c>
      <c r="D58" s="1">
        <v>6396</v>
      </c>
      <c r="E58">
        <v>2228</v>
      </c>
    </row>
    <row r="59" spans="1:5" x14ac:dyDescent="0.25">
      <c r="A59">
        <v>2026</v>
      </c>
      <c r="B59" t="s">
        <v>27</v>
      </c>
      <c r="C59" s="1">
        <v>5013</v>
      </c>
      <c r="D59" s="1">
        <v>18571</v>
      </c>
      <c r="E59" s="1">
        <v>4149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9" tint="0.59999389629810485"/>
  </sheetPr>
  <dimension ref="A1:I74"/>
  <sheetViews>
    <sheetView zoomScaleNormal="100" workbookViewId="0">
      <selection activeCell="L19" sqref="L19"/>
    </sheetView>
  </sheetViews>
  <sheetFormatPr baseColWidth="10" defaultColWidth="8.7109375" defaultRowHeight="15" x14ac:dyDescent="0.25"/>
  <cols>
    <col min="1" max="1" width="20" style="2" customWidth="1"/>
    <col min="2" max="2" width="8" style="2" customWidth="1"/>
    <col min="3" max="3" width="14" style="2" customWidth="1"/>
    <col min="4" max="6" width="12" style="2" customWidth="1"/>
    <col min="7" max="8" width="14" style="2" customWidth="1"/>
    <col min="9" max="9" width="18" style="2" customWidth="1"/>
    <col min="10" max="10" width="8.7109375" style="2" customWidth="1"/>
    <col min="11" max="16384" width="8.7109375" style="2"/>
  </cols>
  <sheetData>
    <row r="1" spans="1:9" ht="21.75" customHeight="1" x14ac:dyDescent="0.25">
      <c r="A1" s="82" t="s">
        <v>30</v>
      </c>
      <c r="B1" s="83"/>
      <c r="C1" s="83"/>
      <c r="D1" s="83"/>
      <c r="E1" s="83"/>
      <c r="F1" s="83"/>
      <c r="G1" s="83"/>
      <c r="H1" s="83"/>
      <c r="I1" s="83"/>
    </row>
    <row r="2" spans="1:9" ht="25.5" customHeight="1" x14ac:dyDescent="0.25">
      <c r="A2" s="3" t="s">
        <v>1</v>
      </c>
      <c r="B2" s="3" t="s">
        <v>31</v>
      </c>
      <c r="C2" s="3" t="s">
        <v>32</v>
      </c>
      <c r="D2" s="3" t="s">
        <v>6</v>
      </c>
      <c r="E2" s="3" t="s">
        <v>7</v>
      </c>
      <c r="F2" s="3" t="s">
        <v>2</v>
      </c>
      <c r="G2" s="3" t="s">
        <v>33</v>
      </c>
      <c r="H2" s="3" t="s">
        <v>34</v>
      </c>
      <c r="I2" s="3" t="s">
        <v>35</v>
      </c>
    </row>
    <row r="3" spans="1:9" x14ac:dyDescent="0.25">
      <c r="A3" s="4" t="s">
        <v>36</v>
      </c>
      <c r="B3" s="5">
        <v>2007</v>
      </c>
      <c r="C3" s="5" t="s">
        <v>37</v>
      </c>
      <c r="D3" s="6">
        <v>417661</v>
      </c>
      <c r="E3" s="6">
        <v>444992</v>
      </c>
      <c r="F3" s="6">
        <v>862653</v>
      </c>
      <c r="G3" s="7">
        <f t="shared" ref="G3:G34" si="0">IF(F3&gt;0,D3/F3,"")</f>
        <v>0.48415875212860793</v>
      </c>
      <c r="H3" s="7">
        <f t="shared" ref="H3:H34" si="1">IF(F3&gt;0,E3/F3,"")</f>
        <v>0.51584124787139207</v>
      </c>
      <c r="I3" s="8">
        <v>2E-3</v>
      </c>
    </row>
    <row r="4" spans="1:9" x14ac:dyDescent="0.25">
      <c r="A4" s="4" t="s">
        <v>36</v>
      </c>
      <c r="B4" s="5">
        <v>2017</v>
      </c>
      <c r="C4" s="5" t="s">
        <v>37</v>
      </c>
      <c r="D4" s="6">
        <v>426024</v>
      </c>
      <c r="E4" s="6">
        <v>464540</v>
      </c>
      <c r="F4" s="6">
        <v>890564</v>
      </c>
      <c r="G4" s="7">
        <f t="shared" si="0"/>
        <v>0.4783755013676726</v>
      </c>
      <c r="H4" s="7">
        <f t="shared" si="1"/>
        <v>0.5216244986323274</v>
      </c>
      <c r="I4" s="8">
        <v>2E-3</v>
      </c>
    </row>
    <row r="5" spans="1:9" x14ac:dyDescent="0.25">
      <c r="A5" s="4" t="s">
        <v>36</v>
      </c>
      <c r="B5" s="5">
        <v>2026</v>
      </c>
      <c r="C5" s="5" t="s">
        <v>38</v>
      </c>
      <c r="D5" s="9">
        <v>432453</v>
      </c>
      <c r="E5" s="9">
        <v>471549</v>
      </c>
      <c r="F5" s="9">
        <v>904002</v>
      </c>
      <c r="G5" s="7">
        <f t="shared" si="0"/>
        <v>0.47837615403505745</v>
      </c>
      <c r="H5" s="7">
        <f t="shared" si="1"/>
        <v>0.5216238459649426</v>
      </c>
      <c r="I5" s="8">
        <v>2E-3</v>
      </c>
    </row>
    <row r="6" spans="1:9" x14ac:dyDescent="0.25">
      <c r="A6" s="4" t="s">
        <v>36</v>
      </c>
      <c r="B6" s="5">
        <v>2027</v>
      </c>
      <c r="C6" s="5" t="s">
        <v>38</v>
      </c>
      <c r="D6" s="9">
        <v>433174</v>
      </c>
      <c r="E6" s="9">
        <v>472334</v>
      </c>
      <c r="F6" s="9">
        <v>905508</v>
      </c>
      <c r="G6" s="7">
        <f t="shared" si="0"/>
        <v>0.47837677855965932</v>
      </c>
      <c r="H6" s="7">
        <f t="shared" si="1"/>
        <v>0.52162322144034068</v>
      </c>
      <c r="I6" s="8">
        <v>2E-3</v>
      </c>
    </row>
    <row r="7" spans="1:9" x14ac:dyDescent="0.25">
      <c r="A7" s="4" t="s">
        <v>36</v>
      </c>
      <c r="B7" s="5">
        <v>2028</v>
      </c>
      <c r="C7" s="5" t="s">
        <v>38</v>
      </c>
      <c r="D7" s="9">
        <v>433896</v>
      </c>
      <c r="E7" s="9">
        <v>473121</v>
      </c>
      <c r="F7" s="9">
        <v>907017</v>
      </c>
      <c r="G7" s="7">
        <f t="shared" si="0"/>
        <v>0.47837692127049436</v>
      </c>
      <c r="H7" s="7">
        <f t="shared" si="1"/>
        <v>0.52162307872950564</v>
      </c>
      <c r="I7" s="8">
        <v>2E-3</v>
      </c>
    </row>
    <row r="8" spans="1:9" x14ac:dyDescent="0.25">
      <c r="A8" s="4" t="s">
        <v>36</v>
      </c>
      <c r="B8" s="5">
        <v>2029</v>
      </c>
      <c r="C8" s="5" t="s">
        <v>38</v>
      </c>
      <c r="D8" s="9">
        <v>434619</v>
      </c>
      <c r="E8" s="9">
        <v>473909</v>
      </c>
      <c r="F8" s="9">
        <v>908528</v>
      </c>
      <c r="G8" s="7">
        <f t="shared" si="0"/>
        <v>0.47837711110719755</v>
      </c>
      <c r="H8" s="7">
        <f t="shared" si="1"/>
        <v>0.52162288889280239</v>
      </c>
      <c r="I8" s="8">
        <v>2E-3</v>
      </c>
    </row>
    <row r="9" spans="1:9" x14ac:dyDescent="0.25">
      <c r="A9" s="4" t="s">
        <v>36</v>
      </c>
      <c r="B9" s="5">
        <v>2030</v>
      </c>
      <c r="C9" s="5" t="s">
        <v>38</v>
      </c>
      <c r="D9" s="9">
        <v>435342</v>
      </c>
      <c r="E9" s="9">
        <v>474700</v>
      </c>
      <c r="F9" s="9">
        <v>910042</v>
      </c>
      <c r="G9" s="7">
        <f t="shared" si="0"/>
        <v>0.47837572331826445</v>
      </c>
      <c r="H9" s="7">
        <f t="shared" si="1"/>
        <v>0.52162427668173561</v>
      </c>
      <c r="I9" s="8">
        <v>2E-3</v>
      </c>
    </row>
    <row r="10" spans="1:9" x14ac:dyDescent="0.25">
      <c r="A10" s="4" t="s">
        <v>36</v>
      </c>
      <c r="B10" s="5">
        <v>2031</v>
      </c>
      <c r="C10" s="5" t="s">
        <v>38</v>
      </c>
      <c r="D10" s="9">
        <v>436068</v>
      </c>
      <c r="E10" s="9">
        <v>475491</v>
      </c>
      <c r="F10" s="9">
        <v>911559</v>
      </c>
      <c r="G10" s="7">
        <f t="shared" si="0"/>
        <v>0.47837605684327617</v>
      </c>
      <c r="H10" s="7">
        <f t="shared" si="1"/>
        <v>0.52162394315672378</v>
      </c>
      <c r="I10" s="8">
        <v>2E-3</v>
      </c>
    </row>
    <row r="11" spans="1:9" x14ac:dyDescent="0.25">
      <c r="A11" s="10" t="s">
        <v>10</v>
      </c>
      <c r="B11" s="5">
        <v>2007</v>
      </c>
      <c r="C11" s="5" t="s">
        <v>37</v>
      </c>
      <c r="D11" s="6">
        <v>222808</v>
      </c>
      <c r="E11" s="6">
        <v>243538</v>
      </c>
      <c r="F11" s="6">
        <v>466346</v>
      </c>
      <c r="G11" s="7">
        <f t="shared" si="0"/>
        <v>0.47777401328627245</v>
      </c>
      <c r="H11" s="7">
        <f t="shared" si="1"/>
        <v>0.52222598671372755</v>
      </c>
      <c r="I11" s="8">
        <v>2E-3</v>
      </c>
    </row>
    <row r="12" spans="1:9" x14ac:dyDescent="0.25">
      <c r="A12" s="10" t="s">
        <v>10</v>
      </c>
      <c r="B12" s="5">
        <v>2017</v>
      </c>
      <c r="C12" s="5" t="s">
        <v>37</v>
      </c>
      <c r="D12" s="6">
        <v>257473</v>
      </c>
      <c r="E12" s="6">
        <v>288142</v>
      </c>
      <c r="F12" s="6">
        <v>545615</v>
      </c>
      <c r="G12" s="7">
        <f t="shared" si="0"/>
        <v>0.47189501754900431</v>
      </c>
      <c r="H12" s="7">
        <f t="shared" si="1"/>
        <v>0.52810498245099569</v>
      </c>
      <c r="I12" s="8">
        <v>2E-3</v>
      </c>
    </row>
    <row r="13" spans="1:9" x14ac:dyDescent="0.25">
      <c r="A13" s="10" t="s">
        <v>10</v>
      </c>
      <c r="B13" s="5">
        <v>2026</v>
      </c>
      <c r="C13" s="5" t="s">
        <v>38</v>
      </c>
      <c r="D13" s="9">
        <v>261358</v>
      </c>
      <c r="E13" s="9">
        <v>292490</v>
      </c>
      <c r="F13" s="9">
        <v>553848</v>
      </c>
      <c r="G13" s="7">
        <f t="shared" si="0"/>
        <v>0.47189481590616922</v>
      </c>
      <c r="H13" s="7">
        <f t="shared" si="1"/>
        <v>0.52810518409383078</v>
      </c>
      <c r="I13" s="8">
        <v>2E-3</v>
      </c>
    </row>
    <row r="14" spans="1:9" x14ac:dyDescent="0.25">
      <c r="A14" s="10" t="s">
        <v>10</v>
      </c>
      <c r="B14" s="5">
        <v>2027</v>
      </c>
      <c r="C14" s="5" t="s">
        <v>38</v>
      </c>
      <c r="D14" s="9">
        <v>261793</v>
      </c>
      <c r="E14" s="9">
        <v>292977</v>
      </c>
      <c r="F14" s="9">
        <v>554770</v>
      </c>
      <c r="G14" s="7">
        <f t="shared" si="0"/>
        <v>0.47189465904789374</v>
      </c>
      <c r="H14" s="7">
        <f t="shared" si="1"/>
        <v>0.52810534095210626</v>
      </c>
      <c r="I14" s="8">
        <v>2E-3</v>
      </c>
    </row>
    <row r="15" spans="1:9" x14ac:dyDescent="0.25">
      <c r="A15" s="10" t="s">
        <v>10</v>
      </c>
      <c r="B15" s="5">
        <v>2028</v>
      </c>
      <c r="C15" s="5" t="s">
        <v>38</v>
      </c>
      <c r="D15" s="9">
        <v>262229</v>
      </c>
      <c r="E15" s="9">
        <v>293465</v>
      </c>
      <c r="F15" s="9">
        <v>555694</v>
      </c>
      <c r="G15" s="7">
        <f t="shared" si="0"/>
        <v>0.47189460386471693</v>
      </c>
      <c r="H15" s="7">
        <f t="shared" si="1"/>
        <v>0.52810539613528307</v>
      </c>
      <c r="I15" s="8">
        <v>2E-3</v>
      </c>
    </row>
    <row r="16" spans="1:9" x14ac:dyDescent="0.25">
      <c r="A16" s="10" t="s">
        <v>10</v>
      </c>
      <c r="B16" s="5">
        <v>2029</v>
      </c>
      <c r="C16" s="5" t="s">
        <v>38</v>
      </c>
      <c r="D16" s="9">
        <v>262666</v>
      </c>
      <c r="E16" s="9">
        <v>293954</v>
      </c>
      <c r="F16" s="9">
        <v>556620</v>
      </c>
      <c r="G16" s="7">
        <f t="shared" si="0"/>
        <v>0.47189464985088569</v>
      </c>
      <c r="H16" s="7">
        <f t="shared" si="1"/>
        <v>0.52810535014911431</v>
      </c>
      <c r="I16" s="8">
        <v>2E-3</v>
      </c>
    </row>
    <row r="17" spans="1:9" x14ac:dyDescent="0.25">
      <c r="A17" s="10" t="s">
        <v>10</v>
      </c>
      <c r="B17" s="5">
        <v>2030</v>
      </c>
      <c r="C17" s="5" t="s">
        <v>38</v>
      </c>
      <c r="D17" s="9">
        <v>263103</v>
      </c>
      <c r="E17" s="9">
        <v>294444</v>
      </c>
      <c r="F17" s="9">
        <v>557547</v>
      </c>
      <c r="G17" s="7">
        <f t="shared" si="0"/>
        <v>0.47189384930777134</v>
      </c>
      <c r="H17" s="7">
        <f t="shared" si="1"/>
        <v>0.52810615069222866</v>
      </c>
      <c r="I17" s="8">
        <v>2E-3</v>
      </c>
    </row>
    <row r="18" spans="1:9" x14ac:dyDescent="0.25">
      <c r="A18" s="10" t="s">
        <v>10</v>
      </c>
      <c r="B18" s="5">
        <v>2031</v>
      </c>
      <c r="C18" s="5" t="s">
        <v>38</v>
      </c>
      <c r="D18" s="9">
        <v>263541</v>
      </c>
      <c r="E18" s="9">
        <v>294934</v>
      </c>
      <c r="F18" s="9">
        <v>558475</v>
      </c>
      <c r="G18" s="7">
        <f t="shared" si="0"/>
        <v>0.47189399704552576</v>
      </c>
      <c r="H18" s="7">
        <f t="shared" si="1"/>
        <v>0.52810600295447419</v>
      </c>
      <c r="I18" s="8">
        <v>2E-3</v>
      </c>
    </row>
    <row r="19" spans="1:9" x14ac:dyDescent="0.25">
      <c r="A19" s="11" t="s">
        <v>15</v>
      </c>
      <c r="B19" s="5">
        <v>2007</v>
      </c>
      <c r="C19" s="5" t="s">
        <v>37</v>
      </c>
      <c r="D19" s="6">
        <v>29280</v>
      </c>
      <c r="E19" s="6">
        <v>30841</v>
      </c>
      <c r="F19" s="6">
        <v>60121</v>
      </c>
      <c r="G19" s="7">
        <f t="shared" si="0"/>
        <v>0.48701784734119524</v>
      </c>
      <c r="H19" s="7">
        <f t="shared" si="1"/>
        <v>0.51298215265880476</v>
      </c>
      <c r="I19" s="8">
        <v>2E-3</v>
      </c>
    </row>
    <row r="20" spans="1:9" x14ac:dyDescent="0.25">
      <c r="A20" s="11" t="s">
        <v>15</v>
      </c>
      <c r="B20" s="5">
        <v>2017</v>
      </c>
      <c r="C20" s="5" t="s">
        <v>37</v>
      </c>
      <c r="D20" s="6">
        <v>26423</v>
      </c>
      <c r="E20" s="6">
        <v>29168</v>
      </c>
      <c r="F20" s="6">
        <v>55591</v>
      </c>
      <c r="G20" s="7">
        <f t="shared" si="0"/>
        <v>0.47531075174038961</v>
      </c>
      <c r="H20" s="7">
        <f t="shared" si="1"/>
        <v>0.52468924825961039</v>
      </c>
      <c r="I20" s="8">
        <v>2E-3</v>
      </c>
    </row>
    <row r="21" spans="1:9" x14ac:dyDescent="0.25">
      <c r="A21" s="11" t="s">
        <v>15</v>
      </c>
      <c r="B21" s="5">
        <v>2026</v>
      </c>
      <c r="C21" s="5" t="s">
        <v>38</v>
      </c>
      <c r="D21" s="9">
        <v>26822</v>
      </c>
      <c r="E21" s="9">
        <v>29608</v>
      </c>
      <c r="F21" s="9">
        <v>56430</v>
      </c>
      <c r="G21" s="7">
        <f t="shared" si="0"/>
        <v>0.47531454899875952</v>
      </c>
      <c r="H21" s="7">
        <f t="shared" si="1"/>
        <v>0.52468545100124042</v>
      </c>
      <c r="I21" s="8">
        <v>2E-3</v>
      </c>
    </row>
    <row r="22" spans="1:9" x14ac:dyDescent="0.25">
      <c r="A22" s="11" t="s">
        <v>15</v>
      </c>
      <c r="B22" s="5">
        <v>2027</v>
      </c>
      <c r="C22" s="5" t="s">
        <v>38</v>
      </c>
      <c r="D22" s="9">
        <v>26867</v>
      </c>
      <c r="E22" s="9">
        <v>29657</v>
      </c>
      <c r="F22" s="9">
        <v>56524</v>
      </c>
      <c r="G22" s="7">
        <f t="shared" si="0"/>
        <v>0.47532021796051233</v>
      </c>
      <c r="H22" s="7">
        <f t="shared" si="1"/>
        <v>0.52467978203948762</v>
      </c>
      <c r="I22" s="8">
        <v>2E-3</v>
      </c>
    </row>
    <row r="23" spans="1:9" x14ac:dyDescent="0.25">
      <c r="A23" s="11" t="s">
        <v>15</v>
      </c>
      <c r="B23" s="5">
        <v>2028</v>
      </c>
      <c r="C23" s="5" t="s">
        <v>38</v>
      </c>
      <c r="D23" s="9">
        <v>26912</v>
      </c>
      <c r="E23" s="9">
        <v>29706</v>
      </c>
      <c r="F23" s="9">
        <v>56618</v>
      </c>
      <c r="G23" s="7">
        <f t="shared" si="0"/>
        <v>0.47532586809848459</v>
      </c>
      <c r="H23" s="7">
        <f t="shared" si="1"/>
        <v>0.52467413190151546</v>
      </c>
      <c r="I23" s="8">
        <v>2E-3</v>
      </c>
    </row>
    <row r="24" spans="1:9" x14ac:dyDescent="0.25">
      <c r="A24" s="11" t="s">
        <v>15</v>
      </c>
      <c r="B24" s="5">
        <v>2029</v>
      </c>
      <c r="C24" s="5" t="s">
        <v>38</v>
      </c>
      <c r="D24" s="9">
        <v>26957</v>
      </c>
      <c r="E24" s="9">
        <v>29755</v>
      </c>
      <c r="F24" s="9">
        <v>56712</v>
      </c>
      <c r="G24" s="7">
        <f t="shared" si="0"/>
        <v>0.47533149950627734</v>
      </c>
      <c r="H24" s="7">
        <f t="shared" si="1"/>
        <v>0.52466850049372271</v>
      </c>
      <c r="I24" s="8">
        <v>2E-3</v>
      </c>
    </row>
    <row r="25" spans="1:9" x14ac:dyDescent="0.25">
      <c r="A25" s="11" t="s">
        <v>15</v>
      </c>
      <c r="B25" s="5">
        <v>2030</v>
      </c>
      <c r="C25" s="5" t="s">
        <v>38</v>
      </c>
      <c r="D25" s="9">
        <v>27002</v>
      </c>
      <c r="E25" s="9">
        <v>29805</v>
      </c>
      <c r="F25" s="9">
        <v>56807</v>
      </c>
      <c r="G25" s="7">
        <f t="shared" si="0"/>
        <v>0.47532874469695635</v>
      </c>
      <c r="H25" s="7">
        <f t="shared" si="1"/>
        <v>0.52467125530304359</v>
      </c>
      <c r="I25" s="8">
        <v>2E-3</v>
      </c>
    </row>
    <row r="26" spans="1:9" x14ac:dyDescent="0.25">
      <c r="A26" s="11" t="s">
        <v>15</v>
      </c>
      <c r="B26" s="5">
        <v>2031</v>
      </c>
      <c r="C26" s="5" t="s">
        <v>38</v>
      </c>
      <c r="D26" s="9">
        <v>27047</v>
      </c>
      <c r="E26" s="9">
        <v>29855</v>
      </c>
      <c r="F26" s="9">
        <v>56902</v>
      </c>
      <c r="G26" s="7">
        <f t="shared" si="0"/>
        <v>0.47532599908614809</v>
      </c>
      <c r="H26" s="7">
        <f t="shared" si="1"/>
        <v>0.52467400091385186</v>
      </c>
      <c r="I26" s="8">
        <v>2E-3</v>
      </c>
    </row>
    <row r="27" spans="1:9" x14ac:dyDescent="0.25">
      <c r="A27" s="12" t="s">
        <v>12</v>
      </c>
      <c r="B27" s="5">
        <v>2007</v>
      </c>
      <c r="C27" s="5" t="s">
        <v>37</v>
      </c>
      <c r="D27" s="6">
        <v>44311</v>
      </c>
      <c r="E27" s="6">
        <v>47742</v>
      </c>
      <c r="F27" s="6">
        <v>92053</v>
      </c>
      <c r="G27" s="7">
        <f t="shared" si="0"/>
        <v>0.48136399682791436</v>
      </c>
      <c r="H27" s="7">
        <f t="shared" si="1"/>
        <v>0.51863600317208569</v>
      </c>
      <c r="I27" s="8">
        <v>2E-3</v>
      </c>
    </row>
    <row r="28" spans="1:9" x14ac:dyDescent="0.25">
      <c r="A28" s="12" t="s">
        <v>12</v>
      </c>
      <c r="B28" s="5">
        <v>2017</v>
      </c>
      <c r="C28" s="5" t="s">
        <v>37</v>
      </c>
      <c r="D28" s="6">
        <v>39671</v>
      </c>
      <c r="E28" s="6">
        <v>43586</v>
      </c>
      <c r="F28" s="6">
        <v>83257</v>
      </c>
      <c r="G28" s="7">
        <f t="shared" si="0"/>
        <v>0.47648846343250417</v>
      </c>
      <c r="H28" s="7">
        <f t="shared" si="1"/>
        <v>0.52351153656749583</v>
      </c>
      <c r="I28" s="8">
        <v>2E-3</v>
      </c>
    </row>
    <row r="29" spans="1:9" x14ac:dyDescent="0.25">
      <c r="A29" s="12" t="s">
        <v>12</v>
      </c>
      <c r="B29" s="5">
        <v>2026</v>
      </c>
      <c r="C29" s="5" t="s">
        <v>38</v>
      </c>
      <c r="D29" s="9">
        <v>40270</v>
      </c>
      <c r="E29" s="9">
        <v>44244</v>
      </c>
      <c r="F29" s="9">
        <v>84514</v>
      </c>
      <c r="G29" s="7">
        <f t="shared" si="0"/>
        <v>0.47648910239723596</v>
      </c>
      <c r="H29" s="7">
        <f t="shared" si="1"/>
        <v>0.52351089760276404</v>
      </c>
      <c r="I29" s="8">
        <v>2E-3</v>
      </c>
    </row>
    <row r="30" spans="1:9" x14ac:dyDescent="0.25">
      <c r="A30" s="12" t="s">
        <v>12</v>
      </c>
      <c r="B30" s="5">
        <v>2027</v>
      </c>
      <c r="C30" s="5" t="s">
        <v>38</v>
      </c>
      <c r="D30" s="9">
        <v>40337</v>
      </c>
      <c r="E30" s="9">
        <v>44318</v>
      </c>
      <c r="F30" s="9">
        <v>84655</v>
      </c>
      <c r="G30" s="7">
        <f t="shared" si="0"/>
        <v>0.47648691748863031</v>
      </c>
      <c r="H30" s="7">
        <f t="shared" si="1"/>
        <v>0.52351308251136963</v>
      </c>
      <c r="I30" s="8">
        <v>2E-3</v>
      </c>
    </row>
    <row r="31" spans="1:9" x14ac:dyDescent="0.25">
      <c r="A31" s="12" t="s">
        <v>12</v>
      </c>
      <c r="B31" s="5">
        <v>2028</v>
      </c>
      <c r="C31" s="5" t="s">
        <v>38</v>
      </c>
      <c r="D31" s="9">
        <v>40404</v>
      </c>
      <c r="E31" s="9">
        <v>44392</v>
      </c>
      <c r="F31" s="9">
        <v>84796</v>
      </c>
      <c r="G31" s="7">
        <f t="shared" si="0"/>
        <v>0.47648473984621914</v>
      </c>
      <c r="H31" s="7">
        <f t="shared" si="1"/>
        <v>0.5235152601537808</v>
      </c>
      <c r="I31" s="8">
        <v>2E-3</v>
      </c>
    </row>
    <row r="32" spans="1:9" x14ac:dyDescent="0.25">
      <c r="A32" s="12" t="s">
        <v>12</v>
      </c>
      <c r="B32" s="5">
        <v>2029</v>
      </c>
      <c r="C32" s="5" t="s">
        <v>38</v>
      </c>
      <c r="D32" s="9">
        <v>40471</v>
      </c>
      <c r="E32" s="9">
        <v>44466</v>
      </c>
      <c r="F32" s="9">
        <v>84937</v>
      </c>
      <c r="G32" s="7">
        <f t="shared" si="0"/>
        <v>0.47648256943381567</v>
      </c>
      <c r="H32" s="7">
        <f t="shared" si="1"/>
        <v>0.52351743056618438</v>
      </c>
      <c r="I32" s="8">
        <v>2E-3</v>
      </c>
    </row>
    <row r="33" spans="1:9" x14ac:dyDescent="0.25">
      <c r="A33" s="12" t="s">
        <v>12</v>
      </c>
      <c r="B33" s="5">
        <v>2030</v>
      </c>
      <c r="C33" s="5" t="s">
        <v>38</v>
      </c>
      <c r="D33" s="9">
        <v>40538</v>
      </c>
      <c r="E33" s="9">
        <v>44540</v>
      </c>
      <c r="F33" s="9">
        <v>85078</v>
      </c>
      <c r="G33" s="7">
        <f t="shared" si="0"/>
        <v>0.47648040621547288</v>
      </c>
      <c r="H33" s="7">
        <f t="shared" si="1"/>
        <v>0.52351959378452717</v>
      </c>
      <c r="I33" s="8">
        <v>2E-3</v>
      </c>
    </row>
    <row r="34" spans="1:9" x14ac:dyDescent="0.25">
      <c r="A34" s="12" t="s">
        <v>12</v>
      </c>
      <c r="B34" s="5">
        <v>2031</v>
      </c>
      <c r="C34" s="5" t="s">
        <v>38</v>
      </c>
      <c r="D34" s="9">
        <v>40606</v>
      </c>
      <c r="E34" s="9">
        <v>44614</v>
      </c>
      <c r="F34" s="9">
        <v>85220</v>
      </c>
      <c r="G34" s="7">
        <f t="shared" si="0"/>
        <v>0.47648439333489789</v>
      </c>
      <c r="H34" s="7">
        <f t="shared" si="1"/>
        <v>0.52351560666510211</v>
      </c>
      <c r="I34" s="8">
        <v>2E-3</v>
      </c>
    </row>
    <row r="35" spans="1:9" x14ac:dyDescent="0.25">
      <c r="A35" s="13" t="s">
        <v>39</v>
      </c>
      <c r="B35" s="5">
        <v>2007</v>
      </c>
      <c r="C35" s="5" t="s">
        <v>37</v>
      </c>
      <c r="D35" s="6">
        <v>14594</v>
      </c>
      <c r="E35" s="6">
        <v>15593</v>
      </c>
      <c r="F35" s="6">
        <v>30187</v>
      </c>
      <c r="G35" s="7">
        <f t="shared" ref="G35:G66" si="2">IF(F35&gt;0,D35/F35,"")</f>
        <v>0.48345314208102824</v>
      </c>
      <c r="H35" s="7">
        <f t="shared" ref="H35:H66" si="3">IF(F35&gt;0,E35/F35,"")</f>
        <v>0.5165468579189717</v>
      </c>
      <c r="I35" s="8">
        <v>2E-3</v>
      </c>
    </row>
    <row r="36" spans="1:9" x14ac:dyDescent="0.25">
      <c r="A36" s="13" t="s">
        <v>39</v>
      </c>
      <c r="B36" s="5">
        <v>2017</v>
      </c>
      <c r="C36" s="5" t="s">
        <v>37</v>
      </c>
      <c r="D36" s="6">
        <v>11060</v>
      </c>
      <c r="E36" s="6">
        <v>12073</v>
      </c>
      <c r="F36" s="6">
        <v>23133</v>
      </c>
      <c r="G36" s="7">
        <f t="shared" si="2"/>
        <v>0.47810487182812433</v>
      </c>
      <c r="H36" s="7">
        <f t="shared" si="3"/>
        <v>0.52189512817187567</v>
      </c>
      <c r="I36" s="8">
        <v>2E-3</v>
      </c>
    </row>
    <row r="37" spans="1:9" x14ac:dyDescent="0.25">
      <c r="A37" s="13" t="s">
        <v>39</v>
      </c>
      <c r="B37" s="5">
        <v>2026</v>
      </c>
      <c r="C37" s="5" t="s">
        <v>38</v>
      </c>
      <c r="D37" s="9">
        <v>11227</v>
      </c>
      <c r="E37" s="9">
        <v>12255</v>
      </c>
      <c r="F37" s="9">
        <v>23482</v>
      </c>
      <c r="G37" s="7">
        <f t="shared" si="2"/>
        <v>0.47811089345030233</v>
      </c>
      <c r="H37" s="7">
        <f t="shared" si="3"/>
        <v>0.52188910654969767</v>
      </c>
      <c r="I37" s="8">
        <v>2E-3</v>
      </c>
    </row>
    <row r="38" spans="1:9" x14ac:dyDescent="0.25">
      <c r="A38" s="13" t="s">
        <v>39</v>
      </c>
      <c r="B38" s="5">
        <v>2027</v>
      </c>
      <c r="C38" s="5" t="s">
        <v>38</v>
      </c>
      <c r="D38" s="9">
        <v>11246</v>
      </c>
      <c r="E38" s="9">
        <v>12275</v>
      </c>
      <c r="F38" s="9">
        <v>23521</v>
      </c>
      <c r="G38" s="7">
        <f t="shared" si="2"/>
        <v>0.47812593001998216</v>
      </c>
      <c r="H38" s="7">
        <f t="shared" si="3"/>
        <v>0.52187406998001784</v>
      </c>
      <c r="I38" s="8">
        <v>2E-3</v>
      </c>
    </row>
    <row r="39" spans="1:9" x14ac:dyDescent="0.25">
      <c r="A39" s="13" t="s">
        <v>39</v>
      </c>
      <c r="B39" s="5">
        <v>2028</v>
      </c>
      <c r="C39" s="5" t="s">
        <v>38</v>
      </c>
      <c r="D39" s="9">
        <v>11265</v>
      </c>
      <c r="E39" s="9">
        <v>12295</v>
      </c>
      <c r="F39" s="9">
        <v>23560</v>
      </c>
      <c r="G39" s="7">
        <f t="shared" si="2"/>
        <v>0.47814091680814941</v>
      </c>
      <c r="H39" s="7">
        <f t="shared" si="3"/>
        <v>0.52185908319185059</v>
      </c>
      <c r="I39" s="8">
        <v>2E-3</v>
      </c>
    </row>
    <row r="40" spans="1:9" x14ac:dyDescent="0.25">
      <c r="A40" s="13" t="s">
        <v>39</v>
      </c>
      <c r="B40" s="5">
        <v>2029</v>
      </c>
      <c r="C40" s="5" t="s">
        <v>38</v>
      </c>
      <c r="D40" s="9">
        <v>11284</v>
      </c>
      <c r="E40" s="9">
        <v>12315</v>
      </c>
      <c r="F40" s="9">
        <v>23599</v>
      </c>
      <c r="G40" s="7">
        <f t="shared" si="2"/>
        <v>0.47815585406161276</v>
      </c>
      <c r="H40" s="7">
        <f t="shared" si="3"/>
        <v>0.52184414593838724</v>
      </c>
      <c r="I40" s="8">
        <v>2E-3</v>
      </c>
    </row>
    <row r="41" spans="1:9" x14ac:dyDescent="0.25">
      <c r="A41" s="13" t="s">
        <v>39</v>
      </c>
      <c r="B41" s="5">
        <v>2030</v>
      </c>
      <c r="C41" s="5" t="s">
        <v>38</v>
      </c>
      <c r="D41" s="9">
        <v>11303</v>
      </c>
      <c r="E41" s="9">
        <v>12336</v>
      </c>
      <c r="F41" s="9">
        <v>23639</v>
      </c>
      <c r="G41" s="7">
        <f t="shared" si="2"/>
        <v>0.4781505139811329</v>
      </c>
      <c r="H41" s="7">
        <f t="shared" si="3"/>
        <v>0.52184948601886716</v>
      </c>
      <c r="I41" s="8">
        <v>2E-3</v>
      </c>
    </row>
    <row r="42" spans="1:9" x14ac:dyDescent="0.25">
      <c r="A42" s="13" t="s">
        <v>39</v>
      </c>
      <c r="B42" s="5">
        <v>2031</v>
      </c>
      <c r="C42" s="5" t="s">
        <v>38</v>
      </c>
      <c r="D42" s="9">
        <v>11322</v>
      </c>
      <c r="E42" s="9">
        <v>12357</v>
      </c>
      <c r="F42" s="9">
        <v>23679</v>
      </c>
      <c r="G42" s="7">
        <f t="shared" si="2"/>
        <v>0.47814519194222727</v>
      </c>
      <c r="H42" s="7">
        <f t="shared" si="3"/>
        <v>0.52185480805777273</v>
      </c>
      <c r="I42" s="8">
        <v>2E-3</v>
      </c>
    </row>
    <row r="43" spans="1:9" x14ac:dyDescent="0.25">
      <c r="A43" s="14" t="s">
        <v>11</v>
      </c>
      <c r="B43" s="5">
        <v>2007</v>
      </c>
      <c r="C43" s="5" t="s">
        <v>37</v>
      </c>
      <c r="D43" s="6">
        <v>55139</v>
      </c>
      <c r="E43" s="6">
        <v>57091</v>
      </c>
      <c r="F43" s="6">
        <v>112230</v>
      </c>
      <c r="G43" s="7">
        <f t="shared" si="2"/>
        <v>0.49130357301969169</v>
      </c>
      <c r="H43" s="7">
        <f t="shared" si="3"/>
        <v>0.50869642698030826</v>
      </c>
      <c r="I43" s="8">
        <v>2E-3</v>
      </c>
    </row>
    <row r="44" spans="1:9" x14ac:dyDescent="0.25">
      <c r="A44" s="14" t="s">
        <v>11</v>
      </c>
      <c r="B44" s="5">
        <v>2017</v>
      </c>
      <c r="C44" s="5" t="s">
        <v>37</v>
      </c>
      <c r="D44" s="6">
        <v>43199</v>
      </c>
      <c r="E44" s="6">
        <v>46391</v>
      </c>
      <c r="F44" s="6">
        <v>89590</v>
      </c>
      <c r="G44" s="7">
        <f t="shared" si="2"/>
        <v>0.48218551177586783</v>
      </c>
      <c r="H44" s="7">
        <f t="shared" si="3"/>
        <v>0.51781448822413212</v>
      </c>
      <c r="I44" s="8">
        <v>2E-3</v>
      </c>
    </row>
    <row r="45" spans="1:9" x14ac:dyDescent="0.25">
      <c r="A45" s="14" t="s">
        <v>11</v>
      </c>
      <c r="B45" s="5">
        <v>2026</v>
      </c>
      <c r="C45" s="5" t="s">
        <v>38</v>
      </c>
      <c r="D45" s="9">
        <v>43851</v>
      </c>
      <c r="E45" s="9">
        <v>47091</v>
      </c>
      <c r="F45" s="9">
        <v>90942</v>
      </c>
      <c r="G45" s="7">
        <f t="shared" si="2"/>
        <v>0.48218644850564096</v>
      </c>
      <c r="H45" s="7">
        <f t="shared" si="3"/>
        <v>0.51781355149435904</v>
      </c>
      <c r="I45" s="8">
        <v>2E-3</v>
      </c>
    </row>
    <row r="46" spans="1:9" x14ac:dyDescent="0.25">
      <c r="A46" s="14" t="s">
        <v>11</v>
      </c>
      <c r="B46" s="5">
        <v>2027</v>
      </c>
      <c r="C46" s="5" t="s">
        <v>38</v>
      </c>
      <c r="D46" s="9">
        <v>43924</v>
      </c>
      <c r="E46" s="9">
        <v>47169</v>
      </c>
      <c r="F46" s="9">
        <v>91093</v>
      </c>
      <c r="G46" s="7">
        <f t="shared" si="2"/>
        <v>0.48218853259855315</v>
      </c>
      <c r="H46" s="7">
        <f t="shared" si="3"/>
        <v>0.5178114674014469</v>
      </c>
      <c r="I46" s="8">
        <v>2E-3</v>
      </c>
    </row>
    <row r="47" spans="1:9" x14ac:dyDescent="0.25">
      <c r="A47" s="14" t="s">
        <v>11</v>
      </c>
      <c r="B47" s="5">
        <v>2028</v>
      </c>
      <c r="C47" s="5" t="s">
        <v>38</v>
      </c>
      <c r="D47" s="9">
        <v>43997</v>
      </c>
      <c r="E47" s="9">
        <v>47248</v>
      </c>
      <c r="F47" s="9">
        <v>91245</v>
      </c>
      <c r="G47" s="7">
        <f t="shared" si="2"/>
        <v>0.48218532522329993</v>
      </c>
      <c r="H47" s="7">
        <f t="shared" si="3"/>
        <v>0.51781467477670007</v>
      </c>
      <c r="I47" s="8">
        <v>2E-3</v>
      </c>
    </row>
    <row r="48" spans="1:9" x14ac:dyDescent="0.25">
      <c r="A48" s="14" t="s">
        <v>11</v>
      </c>
      <c r="B48" s="5">
        <v>2029</v>
      </c>
      <c r="C48" s="5" t="s">
        <v>38</v>
      </c>
      <c r="D48" s="9">
        <v>44070</v>
      </c>
      <c r="E48" s="9">
        <v>47327</v>
      </c>
      <c r="F48" s="9">
        <v>91397</v>
      </c>
      <c r="G48" s="7">
        <f t="shared" si="2"/>
        <v>0.48218212851625325</v>
      </c>
      <c r="H48" s="7">
        <f t="shared" si="3"/>
        <v>0.51781787148374669</v>
      </c>
      <c r="I48" s="8">
        <v>2E-3</v>
      </c>
    </row>
    <row r="49" spans="1:9" x14ac:dyDescent="0.25">
      <c r="A49" s="14" t="s">
        <v>11</v>
      </c>
      <c r="B49" s="5">
        <v>2030</v>
      </c>
      <c r="C49" s="5" t="s">
        <v>38</v>
      </c>
      <c r="D49" s="9">
        <v>44143</v>
      </c>
      <c r="E49" s="9">
        <v>47406</v>
      </c>
      <c r="F49" s="9">
        <v>91549</v>
      </c>
      <c r="G49" s="7">
        <f t="shared" si="2"/>
        <v>0.4821789424242755</v>
      </c>
      <c r="H49" s="7">
        <f t="shared" si="3"/>
        <v>0.5178210575757245</v>
      </c>
      <c r="I49" s="8">
        <v>2E-3</v>
      </c>
    </row>
    <row r="50" spans="1:9" x14ac:dyDescent="0.25">
      <c r="A50" s="14" t="s">
        <v>11</v>
      </c>
      <c r="B50" s="5">
        <v>2031</v>
      </c>
      <c r="C50" s="5" t="s">
        <v>38</v>
      </c>
      <c r="D50" s="9">
        <v>44217</v>
      </c>
      <c r="E50" s="9">
        <v>47485</v>
      </c>
      <c r="F50" s="9">
        <v>91702</v>
      </c>
      <c r="G50" s="7">
        <f t="shared" si="2"/>
        <v>0.48218141370962464</v>
      </c>
      <c r="H50" s="7">
        <f t="shared" si="3"/>
        <v>0.51781858629037536</v>
      </c>
      <c r="I50" s="8">
        <v>2E-3</v>
      </c>
    </row>
    <row r="51" spans="1:9" x14ac:dyDescent="0.25">
      <c r="A51" s="15" t="s">
        <v>16</v>
      </c>
      <c r="B51" s="5">
        <v>2007</v>
      </c>
      <c r="C51" s="5" t="s">
        <v>37</v>
      </c>
      <c r="D51" s="6">
        <v>26433</v>
      </c>
      <c r="E51" s="6">
        <v>23405</v>
      </c>
      <c r="F51" s="6">
        <v>49838</v>
      </c>
      <c r="G51" s="7">
        <f t="shared" si="2"/>
        <v>0.53037842610056585</v>
      </c>
      <c r="H51" s="7">
        <f t="shared" si="3"/>
        <v>0.46962157389943415</v>
      </c>
      <c r="I51" s="8">
        <v>2E-3</v>
      </c>
    </row>
    <row r="52" spans="1:9" x14ac:dyDescent="0.25">
      <c r="A52" s="15" t="s">
        <v>16</v>
      </c>
      <c r="B52" s="5">
        <v>2017</v>
      </c>
      <c r="C52" s="5" t="s">
        <v>37</v>
      </c>
      <c r="D52" s="6">
        <v>22275</v>
      </c>
      <c r="E52" s="6">
        <v>18115</v>
      </c>
      <c r="F52" s="6">
        <v>40390</v>
      </c>
      <c r="G52" s="7">
        <f t="shared" si="2"/>
        <v>0.55149789551869277</v>
      </c>
      <c r="H52" s="7">
        <f t="shared" si="3"/>
        <v>0.44850210448130723</v>
      </c>
      <c r="I52" s="8">
        <v>2E-3</v>
      </c>
    </row>
    <row r="53" spans="1:9" x14ac:dyDescent="0.25">
      <c r="A53" s="15" t="s">
        <v>16</v>
      </c>
      <c r="B53" s="5">
        <v>2026</v>
      </c>
      <c r="C53" s="5" t="s">
        <v>38</v>
      </c>
      <c r="D53" s="9">
        <v>22611</v>
      </c>
      <c r="E53" s="9">
        <v>18388</v>
      </c>
      <c r="F53" s="9">
        <v>40999</v>
      </c>
      <c r="G53" s="7">
        <f t="shared" si="2"/>
        <v>0.55150125612819823</v>
      </c>
      <c r="H53" s="7">
        <f t="shared" si="3"/>
        <v>0.44849874387180177</v>
      </c>
      <c r="I53" s="8">
        <v>2E-3</v>
      </c>
    </row>
    <row r="54" spans="1:9" x14ac:dyDescent="0.25">
      <c r="A54" s="15" t="s">
        <v>16</v>
      </c>
      <c r="B54" s="5">
        <v>2027</v>
      </c>
      <c r="C54" s="5" t="s">
        <v>38</v>
      </c>
      <c r="D54" s="9">
        <v>22649</v>
      </c>
      <c r="E54" s="9">
        <v>18419</v>
      </c>
      <c r="F54" s="9">
        <v>41068</v>
      </c>
      <c r="G54" s="7">
        <f t="shared" si="2"/>
        <v>0.55149995130028251</v>
      </c>
      <c r="H54" s="7">
        <f t="shared" si="3"/>
        <v>0.44850004869971755</v>
      </c>
      <c r="I54" s="8">
        <v>2E-3</v>
      </c>
    </row>
    <row r="55" spans="1:9" x14ac:dyDescent="0.25">
      <c r="A55" s="15" t="s">
        <v>16</v>
      </c>
      <c r="B55" s="5">
        <v>2028</v>
      </c>
      <c r="C55" s="5" t="s">
        <v>38</v>
      </c>
      <c r="D55" s="9">
        <v>22687</v>
      </c>
      <c r="E55" s="9">
        <v>18450</v>
      </c>
      <c r="F55" s="9">
        <v>41137</v>
      </c>
      <c r="G55" s="7">
        <f t="shared" si="2"/>
        <v>0.55149865084960015</v>
      </c>
      <c r="H55" s="7">
        <f t="shared" si="3"/>
        <v>0.44850134915039991</v>
      </c>
      <c r="I55" s="8">
        <v>2E-3</v>
      </c>
    </row>
    <row r="56" spans="1:9" x14ac:dyDescent="0.25">
      <c r="A56" s="15" t="s">
        <v>16</v>
      </c>
      <c r="B56" s="5">
        <v>2029</v>
      </c>
      <c r="C56" s="5" t="s">
        <v>38</v>
      </c>
      <c r="D56" s="9">
        <v>22725</v>
      </c>
      <c r="E56" s="9">
        <v>18481</v>
      </c>
      <c r="F56" s="9">
        <v>41206</v>
      </c>
      <c r="G56" s="7">
        <f t="shared" si="2"/>
        <v>0.55149735475416206</v>
      </c>
      <c r="H56" s="7">
        <f t="shared" si="3"/>
        <v>0.44850264524583799</v>
      </c>
      <c r="I56" s="8">
        <v>2E-3</v>
      </c>
    </row>
    <row r="57" spans="1:9" x14ac:dyDescent="0.25">
      <c r="A57" s="15" t="s">
        <v>16</v>
      </c>
      <c r="B57" s="5">
        <v>2030</v>
      </c>
      <c r="C57" s="5" t="s">
        <v>38</v>
      </c>
      <c r="D57" s="9">
        <v>22763</v>
      </c>
      <c r="E57" s="9">
        <v>18512</v>
      </c>
      <c r="F57" s="9">
        <v>41275</v>
      </c>
      <c r="G57" s="7">
        <f t="shared" si="2"/>
        <v>0.55149606299212595</v>
      </c>
      <c r="H57" s="7">
        <f t="shared" si="3"/>
        <v>0.448503937007874</v>
      </c>
      <c r="I57" s="8">
        <v>2E-3</v>
      </c>
    </row>
    <row r="58" spans="1:9" x14ac:dyDescent="0.25">
      <c r="A58" s="15" t="s">
        <v>16</v>
      </c>
      <c r="B58" s="5">
        <v>2031</v>
      </c>
      <c r="C58" s="5" t="s">
        <v>38</v>
      </c>
      <c r="D58" s="9">
        <v>22801</v>
      </c>
      <c r="E58" s="9">
        <v>18543</v>
      </c>
      <c r="F58" s="9">
        <v>41344</v>
      </c>
      <c r="G58" s="7">
        <f t="shared" si="2"/>
        <v>0.55149477554179571</v>
      </c>
      <c r="H58" s="7">
        <f t="shared" si="3"/>
        <v>0.44850522445820434</v>
      </c>
      <c r="I58" s="8">
        <v>2E-3</v>
      </c>
    </row>
    <row r="59" spans="1:9" x14ac:dyDescent="0.25">
      <c r="A59" s="16" t="s">
        <v>14</v>
      </c>
      <c r="B59" s="5">
        <v>2007</v>
      </c>
      <c r="C59" s="5" t="s">
        <v>37</v>
      </c>
      <c r="D59" s="6">
        <v>25096</v>
      </c>
      <c r="E59" s="6">
        <v>26782</v>
      </c>
      <c r="F59" s="6">
        <v>51878</v>
      </c>
      <c r="G59" s="7">
        <f t="shared" si="2"/>
        <v>0.48375033732988937</v>
      </c>
      <c r="H59" s="7">
        <f t="shared" si="3"/>
        <v>0.51624966267011063</v>
      </c>
      <c r="I59" s="8">
        <v>2E-3</v>
      </c>
    </row>
    <row r="60" spans="1:9" x14ac:dyDescent="0.25">
      <c r="A60" s="16" t="s">
        <v>14</v>
      </c>
      <c r="B60" s="5">
        <v>2017</v>
      </c>
      <c r="C60" s="5" t="s">
        <v>37</v>
      </c>
      <c r="D60" s="6">
        <v>25923</v>
      </c>
      <c r="E60" s="6">
        <v>27065</v>
      </c>
      <c r="F60" s="6">
        <v>52988</v>
      </c>
      <c r="G60" s="7">
        <f t="shared" si="2"/>
        <v>0.48922397523967692</v>
      </c>
      <c r="H60" s="7">
        <f t="shared" si="3"/>
        <v>0.51077602476032313</v>
      </c>
      <c r="I60" s="8">
        <v>2E-3</v>
      </c>
    </row>
    <row r="61" spans="1:9" x14ac:dyDescent="0.25">
      <c r="A61" s="16" t="s">
        <v>14</v>
      </c>
      <c r="B61" s="5">
        <v>2026</v>
      </c>
      <c r="C61" s="5" t="s">
        <v>38</v>
      </c>
      <c r="D61" s="9">
        <v>26314</v>
      </c>
      <c r="E61" s="9">
        <v>27473</v>
      </c>
      <c r="F61" s="9">
        <v>53787</v>
      </c>
      <c r="G61" s="7">
        <f t="shared" si="2"/>
        <v>0.48922602115752878</v>
      </c>
      <c r="H61" s="7">
        <f t="shared" si="3"/>
        <v>0.51077397884247122</v>
      </c>
      <c r="I61" s="8">
        <v>2E-3</v>
      </c>
    </row>
    <row r="62" spans="1:9" x14ac:dyDescent="0.25">
      <c r="A62" s="16" t="s">
        <v>14</v>
      </c>
      <c r="B62" s="5">
        <v>2027</v>
      </c>
      <c r="C62" s="5" t="s">
        <v>38</v>
      </c>
      <c r="D62" s="9">
        <v>26358</v>
      </c>
      <c r="E62" s="9">
        <v>27519</v>
      </c>
      <c r="F62" s="9">
        <v>53877</v>
      </c>
      <c r="G62" s="7">
        <f t="shared" si="2"/>
        <v>0.4892254579876385</v>
      </c>
      <c r="H62" s="7">
        <f t="shared" si="3"/>
        <v>0.5107745420123615</v>
      </c>
      <c r="I62" s="8">
        <v>2E-3</v>
      </c>
    </row>
    <row r="63" spans="1:9" x14ac:dyDescent="0.25">
      <c r="A63" s="16" t="s">
        <v>14</v>
      </c>
      <c r="B63" s="5">
        <v>2028</v>
      </c>
      <c r="C63" s="5" t="s">
        <v>38</v>
      </c>
      <c r="D63" s="9">
        <v>26402</v>
      </c>
      <c r="E63" s="9">
        <v>27565</v>
      </c>
      <c r="F63" s="9">
        <v>53967</v>
      </c>
      <c r="G63" s="7">
        <f t="shared" si="2"/>
        <v>0.48922489669612912</v>
      </c>
      <c r="H63" s="7">
        <f t="shared" si="3"/>
        <v>0.51077510330387088</v>
      </c>
      <c r="I63" s="8">
        <v>2E-3</v>
      </c>
    </row>
    <row r="64" spans="1:9" x14ac:dyDescent="0.25">
      <c r="A64" s="16" t="s">
        <v>14</v>
      </c>
      <c r="B64" s="5">
        <v>2029</v>
      </c>
      <c r="C64" s="5" t="s">
        <v>38</v>
      </c>
      <c r="D64" s="9">
        <v>26446</v>
      </c>
      <c r="E64" s="9">
        <v>27611</v>
      </c>
      <c r="F64" s="9">
        <v>54057</v>
      </c>
      <c r="G64" s="7">
        <f t="shared" si="2"/>
        <v>0.48922433727361858</v>
      </c>
      <c r="H64" s="7">
        <f t="shared" si="3"/>
        <v>0.51077566272638142</v>
      </c>
      <c r="I64" s="8">
        <v>2E-3</v>
      </c>
    </row>
    <row r="65" spans="1:9" x14ac:dyDescent="0.25">
      <c r="A65" s="16" t="s">
        <v>14</v>
      </c>
      <c r="B65" s="5">
        <v>2030</v>
      </c>
      <c r="C65" s="5" t="s">
        <v>38</v>
      </c>
      <c r="D65" s="9">
        <v>26490</v>
      </c>
      <c r="E65" s="9">
        <v>27657</v>
      </c>
      <c r="F65" s="9">
        <v>54147</v>
      </c>
      <c r="G65" s="7">
        <f t="shared" si="2"/>
        <v>0.48922377971078729</v>
      </c>
      <c r="H65" s="7">
        <f t="shared" si="3"/>
        <v>0.51077622028921266</v>
      </c>
      <c r="I65" s="8">
        <v>2E-3</v>
      </c>
    </row>
    <row r="66" spans="1:9" x14ac:dyDescent="0.25">
      <c r="A66" s="16" t="s">
        <v>14</v>
      </c>
      <c r="B66" s="5">
        <v>2031</v>
      </c>
      <c r="C66" s="5" t="s">
        <v>38</v>
      </c>
      <c r="D66" s="9">
        <v>26534</v>
      </c>
      <c r="E66" s="9">
        <v>27703</v>
      </c>
      <c r="F66" s="9">
        <v>54237</v>
      </c>
      <c r="G66" s="7">
        <f t="shared" si="2"/>
        <v>0.48922322399837748</v>
      </c>
      <c r="H66" s="7">
        <f t="shared" si="3"/>
        <v>0.51077677600162252</v>
      </c>
      <c r="I66" s="8">
        <v>2E-3</v>
      </c>
    </row>
    <row r="67" spans="1:9" x14ac:dyDescent="0.25">
      <c r="A67" s="17" t="s">
        <v>13</v>
      </c>
      <c r="B67" s="5">
        <v>2007</v>
      </c>
      <c r="C67" s="5" t="s">
        <v>37</v>
      </c>
      <c r="D67" s="6">
        <v>52038</v>
      </c>
      <c r="E67" s="6">
        <v>52863</v>
      </c>
      <c r="F67" s="6">
        <v>104901</v>
      </c>
      <c r="G67" s="7">
        <f t="shared" ref="G67:G74" si="4">IF(F67&gt;0,D67/F67,"")</f>
        <v>0.49606772099408014</v>
      </c>
      <c r="H67" s="7">
        <f t="shared" ref="H67:H74" si="5">IF(F67&gt;0,E67/F67,"")</f>
        <v>0.50393227900591986</v>
      </c>
      <c r="I67" s="18">
        <v>-2.7E-2</v>
      </c>
    </row>
    <row r="68" spans="1:9" x14ac:dyDescent="0.25">
      <c r="A68" s="17" t="s">
        <v>13</v>
      </c>
      <c r="B68" s="5">
        <v>2017</v>
      </c>
      <c r="C68" s="5" t="s">
        <v>37</v>
      </c>
      <c r="D68" s="6">
        <v>39922</v>
      </c>
      <c r="E68" s="6">
        <v>41481</v>
      </c>
      <c r="F68" s="6">
        <v>81403</v>
      </c>
      <c r="G68" s="7">
        <f t="shared" si="4"/>
        <v>0.49042418584081665</v>
      </c>
      <c r="H68" s="7">
        <f t="shared" si="5"/>
        <v>0.50957581415918329</v>
      </c>
      <c r="I68" s="18">
        <v>-2.7E-2</v>
      </c>
    </row>
    <row r="69" spans="1:9" x14ac:dyDescent="0.25">
      <c r="A69" s="17" t="s">
        <v>13</v>
      </c>
      <c r="B69" s="5">
        <v>2026</v>
      </c>
      <c r="C69" s="5" t="s">
        <v>38</v>
      </c>
      <c r="D69" s="9">
        <v>31347</v>
      </c>
      <c r="E69" s="9">
        <v>32571</v>
      </c>
      <c r="F69" s="9">
        <v>63918</v>
      </c>
      <c r="G69" s="7">
        <f t="shared" si="4"/>
        <v>0.49042523232892143</v>
      </c>
      <c r="H69" s="7">
        <f t="shared" si="5"/>
        <v>0.50957476767107857</v>
      </c>
      <c r="I69" s="18">
        <v>-2.7E-2</v>
      </c>
    </row>
    <row r="70" spans="1:9" x14ac:dyDescent="0.25">
      <c r="A70" s="17" t="s">
        <v>13</v>
      </c>
      <c r="B70" s="5">
        <v>2027</v>
      </c>
      <c r="C70" s="5" t="s">
        <v>38</v>
      </c>
      <c r="D70" s="9">
        <v>30516</v>
      </c>
      <c r="E70" s="9">
        <v>31708</v>
      </c>
      <c r="F70" s="9">
        <v>62224</v>
      </c>
      <c r="G70" s="7">
        <f t="shared" si="4"/>
        <v>0.49042170223707893</v>
      </c>
      <c r="H70" s="7">
        <f t="shared" si="5"/>
        <v>0.50957829776292107</v>
      </c>
      <c r="I70" s="18">
        <v>-2.7E-2</v>
      </c>
    </row>
    <row r="71" spans="1:9" x14ac:dyDescent="0.25">
      <c r="A71" s="17" t="s">
        <v>13</v>
      </c>
      <c r="B71" s="5">
        <v>2028</v>
      </c>
      <c r="C71" s="5" t="s">
        <v>38</v>
      </c>
      <c r="D71" s="9">
        <v>29707</v>
      </c>
      <c r="E71" s="9">
        <v>30867</v>
      </c>
      <c r="F71" s="9">
        <v>60574</v>
      </c>
      <c r="G71" s="7">
        <f t="shared" si="4"/>
        <v>0.4904249347905042</v>
      </c>
      <c r="H71" s="7">
        <f t="shared" si="5"/>
        <v>0.5095750652094958</v>
      </c>
      <c r="I71" s="18">
        <v>-2.7E-2</v>
      </c>
    </row>
    <row r="72" spans="1:9" x14ac:dyDescent="0.25">
      <c r="A72" s="17" t="s">
        <v>13</v>
      </c>
      <c r="B72" s="5">
        <v>2029</v>
      </c>
      <c r="C72" s="5" t="s">
        <v>38</v>
      </c>
      <c r="D72" s="9">
        <v>28919</v>
      </c>
      <c r="E72" s="9">
        <v>30049</v>
      </c>
      <c r="F72" s="9">
        <v>58968</v>
      </c>
      <c r="G72" s="7">
        <f t="shared" si="4"/>
        <v>0.49041853208519876</v>
      </c>
      <c r="H72" s="7">
        <f t="shared" si="5"/>
        <v>0.5095814679148013</v>
      </c>
      <c r="I72" s="18">
        <v>-2.7E-2</v>
      </c>
    </row>
    <row r="73" spans="1:9" x14ac:dyDescent="0.25">
      <c r="A73" s="17" t="s">
        <v>13</v>
      </c>
      <c r="B73" s="5">
        <v>2030</v>
      </c>
      <c r="C73" s="5" t="s">
        <v>38</v>
      </c>
      <c r="D73" s="9">
        <v>28152</v>
      </c>
      <c r="E73" s="9">
        <v>29252</v>
      </c>
      <c r="F73" s="9">
        <v>57404</v>
      </c>
      <c r="G73" s="7">
        <f t="shared" si="4"/>
        <v>0.49041878614730683</v>
      </c>
      <c r="H73" s="7">
        <f t="shared" si="5"/>
        <v>0.50958121385269317</v>
      </c>
      <c r="I73" s="18">
        <v>-2.7E-2</v>
      </c>
    </row>
    <row r="74" spans="1:9" x14ac:dyDescent="0.25">
      <c r="A74" s="17" t="s">
        <v>13</v>
      </c>
      <c r="B74" s="5">
        <v>2031</v>
      </c>
      <c r="C74" s="5" t="s">
        <v>38</v>
      </c>
      <c r="D74" s="9">
        <v>27406</v>
      </c>
      <c r="E74" s="9">
        <v>28477</v>
      </c>
      <c r="F74" s="9">
        <v>55883</v>
      </c>
      <c r="G74" s="7">
        <f t="shared" si="4"/>
        <v>0.49041747937655461</v>
      </c>
      <c r="H74" s="7">
        <f t="shared" si="5"/>
        <v>0.50958252062344545</v>
      </c>
      <c r="I74" s="18">
        <v>-2.7E-2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9" tint="0.59999389629810485"/>
  </sheetPr>
  <dimension ref="A1:K30"/>
  <sheetViews>
    <sheetView zoomScaleNormal="100" workbookViewId="0">
      <selection activeCell="M29" sqref="M29"/>
    </sheetView>
  </sheetViews>
  <sheetFormatPr baseColWidth="10" defaultColWidth="8.7109375" defaultRowHeight="15" x14ac:dyDescent="0.25"/>
  <cols>
    <col min="1" max="1" width="20" style="2" customWidth="1"/>
    <col min="2" max="10" width="12" style="2" customWidth="1"/>
    <col min="11" max="11" width="8.7109375" style="2" customWidth="1"/>
    <col min="12" max="16384" width="8.7109375" style="2"/>
  </cols>
  <sheetData>
    <row r="1" spans="1:11" ht="21.75" customHeight="1" x14ac:dyDescent="0.25">
      <c r="A1" s="82" t="s">
        <v>40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1" ht="15" customHeight="1" x14ac:dyDescent="0.25">
      <c r="A2" s="84" t="s">
        <v>1</v>
      </c>
      <c r="B2" s="84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</row>
    <row r="3" spans="1:11" x14ac:dyDescent="0.25">
      <c r="A3" s="85"/>
      <c r="B3" s="85"/>
      <c r="C3" s="47" t="s">
        <v>37</v>
      </c>
      <c r="D3" s="47" t="s">
        <v>37</v>
      </c>
      <c r="E3" s="47" t="s">
        <v>50</v>
      </c>
      <c r="F3" s="47" t="s">
        <v>50</v>
      </c>
      <c r="G3" s="47" t="s">
        <v>50</v>
      </c>
      <c r="H3" s="47" t="s">
        <v>50</v>
      </c>
      <c r="I3" s="47" t="s">
        <v>50</v>
      </c>
      <c r="J3" s="47" t="s">
        <v>50</v>
      </c>
    </row>
    <row r="4" spans="1:11" x14ac:dyDescent="0.25">
      <c r="A4" s="4" t="s">
        <v>36</v>
      </c>
      <c r="B4" s="48" t="s">
        <v>51</v>
      </c>
      <c r="C4" s="6">
        <v>417661</v>
      </c>
      <c r="D4" s="6">
        <v>426024</v>
      </c>
      <c r="E4" s="9">
        <v>432453</v>
      </c>
      <c r="F4" s="9">
        <v>433174</v>
      </c>
      <c r="G4" s="9">
        <v>433896</v>
      </c>
      <c r="H4" s="9">
        <v>434619</v>
      </c>
      <c r="I4" s="9">
        <v>435342</v>
      </c>
      <c r="J4" s="9">
        <v>436068</v>
      </c>
    </row>
    <row r="5" spans="1:11" x14ac:dyDescent="0.25">
      <c r="A5" s="4"/>
      <c r="B5" s="49" t="s">
        <v>52</v>
      </c>
      <c r="C5" s="6">
        <v>444992</v>
      </c>
      <c r="D5" s="6">
        <v>464540</v>
      </c>
      <c r="E5" s="9">
        <v>471549</v>
      </c>
      <c r="F5" s="9">
        <v>472334</v>
      </c>
      <c r="G5" s="9">
        <v>473121</v>
      </c>
      <c r="H5" s="9">
        <v>473909</v>
      </c>
      <c r="I5" s="9">
        <v>474700</v>
      </c>
      <c r="J5" s="9">
        <v>475491</v>
      </c>
    </row>
    <row r="6" spans="1:11" x14ac:dyDescent="0.25">
      <c r="A6" s="4"/>
      <c r="B6" s="50" t="s">
        <v>53</v>
      </c>
      <c r="C6" s="6">
        <v>862653</v>
      </c>
      <c r="D6" s="6">
        <v>890564</v>
      </c>
      <c r="E6" s="9">
        <v>904002</v>
      </c>
      <c r="F6" s="9">
        <v>905508</v>
      </c>
      <c r="G6" s="9">
        <v>907017</v>
      </c>
      <c r="H6" s="9">
        <v>908528</v>
      </c>
      <c r="I6" s="9">
        <v>910042</v>
      </c>
      <c r="J6" s="9">
        <v>911559</v>
      </c>
    </row>
    <row r="7" spans="1:11" x14ac:dyDescent="0.25">
      <c r="A7" s="10" t="s">
        <v>10</v>
      </c>
      <c r="B7" s="48" t="s">
        <v>51</v>
      </c>
      <c r="C7" s="6">
        <v>222808</v>
      </c>
      <c r="D7" s="6">
        <v>257473</v>
      </c>
      <c r="E7" s="9">
        <v>261358</v>
      </c>
      <c r="F7" s="9">
        <v>261793</v>
      </c>
      <c r="G7" s="9">
        <v>262229</v>
      </c>
      <c r="H7" s="9">
        <v>262666</v>
      </c>
      <c r="I7" s="9">
        <v>263103</v>
      </c>
      <c r="J7" s="9">
        <v>263541</v>
      </c>
    </row>
    <row r="8" spans="1:11" x14ac:dyDescent="0.25">
      <c r="A8" s="10"/>
      <c r="B8" s="49" t="s">
        <v>52</v>
      </c>
      <c r="C8" s="6">
        <v>243538</v>
      </c>
      <c r="D8" s="6">
        <v>288142</v>
      </c>
      <c r="E8" s="9">
        <v>292490</v>
      </c>
      <c r="F8" s="9">
        <v>292977</v>
      </c>
      <c r="G8" s="9">
        <v>293465</v>
      </c>
      <c r="H8" s="9">
        <v>293954</v>
      </c>
      <c r="I8" s="9">
        <v>294444</v>
      </c>
      <c r="J8" s="9">
        <v>294934</v>
      </c>
    </row>
    <row r="9" spans="1:11" x14ac:dyDescent="0.25">
      <c r="A9" s="10"/>
      <c r="B9" s="50" t="s">
        <v>53</v>
      </c>
      <c r="C9" s="6">
        <v>466346</v>
      </c>
      <c r="D9" s="6">
        <v>545615</v>
      </c>
      <c r="E9" s="9">
        <v>553848</v>
      </c>
      <c r="F9" s="9">
        <v>554770</v>
      </c>
      <c r="G9" s="9">
        <v>555694</v>
      </c>
      <c r="H9" s="9">
        <v>556620</v>
      </c>
      <c r="I9" s="9">
        <v>557547</v>
      </c>
      <c r="J9" s="9">
        <v>558475</v>
      </c>
    </row>
    <row r="10" spans="1:11" x14ac:dyDescent="0.25">
      <c r="A10" s="11" t="s">
        <v>15</v>
      </c>
      <c r="B10" s="48" t="s">
        <v>51</v>
      </c>
      <c r="C10" s="6">
        <v>29280</v>
      </c>
      <c r="D10" s="6">
        <v>26423</v>
      </c>
      <c r="E10" s="9">
        <v>26822</v>
      </c>
      <c r="F10" s="9">
        <v>26867</v>
      </c>
      <c r="G10" s="9">
        <v>26912</v>
      </c>
      <c r="H10" s="9">
        <v>26957</v>
      </c>
      <c r="I10" s="9">
        <v>27002</v>
      </c>
      <c r="J10" s="9">
        <v>27047</v>
      </c>
    </row>
    <row r="11" spans="1:11" x14ac:dyDescent="0.25">
      <c r="A11" s="11"/>
      <c r="B11" s="49" t="s">
        <v>52</v>
      </c>
      <c r="C11" s="6">
        <v>30841</v>
      </c>
      <c r="D11" s="6">
        <v>29168</v>
      </c>
      <c r="E11" s="9">
        <v>29608</v>
      </c>
      <c r="F11" s="9">
        <v>29657</v>
      </c>
      <c r="G11" s="9">
        <v>29706</v>
      </c>
      <c r="H11" s="9">
        <v>29755</v>
      </c>
      <c r="I11" s="9">
        <v>29805</v>
      </c>
      <c r="J11" s="9">
        <v>29855</v>
      </c>
    </row>
    <row r="12" spans="1:11" x14ac:dyDescent="0.25">
      <c r="A12" s="11"/>
      <c r="B12" s="50" t="s">
        <v>53</v>
      </c>
      <c r="C12" s="6">
        <v>60121</v>
      </c>
      <c r="D12" s="6">
        <v>55591</v>
      </c>
      <c r="E12" s="9">
        <v>56430</v>
      </c>
      <c r="F12" s="9">
        <v>56524</v>
      </c>
      <c r="G12" s="9">
        <v>56618</v>
      </c>
      <c r="H12" s="9">
        <v>56712</v>
      </c>
      <c r="I12" s="9">
        <v>56807</v>
      </c>
      <c r="J12" s="9">
        <v>56902</v>
      </c>
    </row>
    <row r="13" spans="1:11" x14ac:dyDescent="0.25">
      <c r="A13" s="12" t="s">
        <v>12</v>
      </c>
      <c r="B13" s="48" t="s">
        <v>51</v>
      </c>
      <c r="C13" s="6">
        <v>44311</v>
      </c>
      <c r="D13" s="6">
        <v>39671</v>
      </c>
      <c r="E13" s="9">
        <v>40270</v>
      </c>
      <c r="F13" s="9">
        <v>40337</v>
      </c>
      <c r="G13" s="9">
        <v>40404</v>
      </c>
      <c r="H13" s="9">
        <v>40471</v>
      </c>
      <c r="I13" s="9">
        <v>40538</v>
      </c>
      <c r="J13" s="9">
        <v>40606</v>
      </c>
    </row>
    <row r="14" spans="1:11" x14ac:dyDescent="0.25">
      <c r="A14" s="12"/>
      <c r="B14" s="49" t="s">
        <v>52</v>
      </c>
      <c r="C14" s="6">
        <v>47742</v>
      </c>
      <c r="D14" s="6">
        <v>43586</v>
      </c>
      <c r="E14" s="9">
        <v>44244</v>
      </c>
      <c r="F14" s="9">
        <v>44318</v>
      </c>
      <c r="G14" s="9">
        <v>44392</v>
      </c>
      <c r="H14" s="9">
        <v>44466</v>
      </c>
      <c r="I14" s="9">
        <v>44540</v>
      </c>
      <c r="J14" s="9">
        <v>44614</v>
      </c>
    </row>
    <row r="15" spans="1:11" x14ac:dyDescent="0.25">
      <c r="A15" s="12"/>
      <c r="B15" s="50" t="s">
        <v>53</v>
      </c>
      <c r="C15" s="6">
        <v>92053</v>
      </c>
      <c r="D15" s="6">
        <v>83257</v>
      </c>
      <c r="E15" s="9">
        <v>84514</v>
      </c>
      <c r="F15" s="9">
        <v>84655</v>
      </c>
      <c r="G15" s="9">
        <v>84796</v>
      </c>
      <c r="H15" s="9">
        <v>84937</v>
      </c>
      <c r="I15" s="9">
        <v>85078</v>
      </c>
      <c r="J15" s="9">
        <v>85220</v>
      </c>
    </row>
    <row r="16" spans="1:11" x14ac:dyDescent="0.25">
      <c r="A16" s="13" t="s">
        <v>39</v>
      </c>
      <c r="B16" s="48" t="s">
        <v>51</v>
      </c>
      <c r="C16" s="6">
        <v>14594</v>
      </c>
      <c r="D16" s="6">
        <v>11060</v>
      </c>
      <c r="E16" s="9">
        <v>11227</v>
      </c>
      <c r="F16" s="9">
        <v>11246</v>
      </c>
      <c r="G16" s="9">
        <v>11265</v>
      </c>
      <c r="H16" s="9">
        <v>11284</v>
      </c>
      <c r="I16" s="9">
        <v>11303</v>
      </c>
      <c r="J16" s="9">
        <v>11322</v>
      </c>
    </row>
    <row r="17" spans="1:10" x14ac:dyDescent="0.25">
      <c r="A17" s="13"/>
      <c r="B17" s="49" t="s">
        <v>52</v>
      </c>
      <c r="C17" s="6">
        <v>15593</v>
      </c>
      <c r="D17" s="6">
        <v>12073</v>
      </c>
      <c r="E17" s="9">
        <v>12255</v>
      </c>
      <c r="F17" s="9">
        <v>12275</v>
      </c>
      <c r="G17" s="9">
        <v>12295</v>
      </c>
      <c r="H17" s="9">
        <v>12315</v>
      </c>
      <c r="I17" s="9">
        <v>12336</v>
      </c>
      <c r="J17" s="9">
        <v>12357</v>
      </c>
    </row>
    <row r="18" spans="1:10" x14ac:dyDescent="0.25">
      <c r="A18" s="13"/>
      <c r="B18" s="50" t="s">
        <v>53</v>
      </c>
      <c r="C18" s="6">
        <v>30187</v>
      </c>
      <c r="D18" s="6">
        <v>23133</v>
      </c>
      <c r="E18" s="9">
        <v>23482</v>
      </c>
      <c r="F18" s="9">
        <v>23521</v>
      </c>
      <c r="G18" s="9">
        <v>23560</v>
      </c>
      <c r="H18" s="9">
        <v>23599</v>
      </c>
      <c r="I18" s="9">
        <v>23639</v>
      </c>
      <c r="J18" s="9">
        <v>23679</v>
      </c>
    </row>
    <row r="19" spans="1:10" x14ac:dyDescent="0.25">
      <c r="A19" s="14" t="s">
        <v>11</v>
      </c>
      <c r="B19" s="48" t="s">
        <v>51</v>
      </c>
      <c r="C19" s="6">
        <v>55139</v>
      </c>
      <c r="D19" s="6">
        <v>43199</v>
      </c>
      <c r="E19" s="9">
        <v>43851</v>
      </c>
      <c r="F19" s="9">
        <v>43924</v>
      </c>
      <c r="G19" s="9">
        <v>43997</v>
      </c>
      <c r="H19" s="9">
        <v>44070</v>
      </c>
      <c r="I19" s="9">
        <v>44143</v>
      </c>
      <c r="J19" s="9">
        <v>44217</v>
      </c>
    </row>
    <row r="20" spans="1:10" x14ac:dyDescent="0.25">
      <c r="A20" s="14"/>
      <c r="B20" s="49" t="s">
        <v>52</v>
      </c>
      <c r="C20" s="6">
        <v>57091</v>
      </c>
      <c r="D20" s="6">
        <v>46391</v>
      </c>
      <c r="E20" s="9">
        <v>47091</v>
      </c>
      <c r="F20" s="9">
        <v>47169</v>
      </c>
      <c r="G20" s="9">
        <v>47248</v>
      </c>
      <c r="H20" s="9">
        <v>47327</v>
      </c>
      <c r="I20" s="9">
        <v>47406</v>
      </c>
      <c r="J20" s="9">
        <v>47485</v>
      </c>
    </row>
    <row r="21" spans="1:10" x14ac:dyDescent="0.25">
      <c r="A21" s="14"/>
      <c r="B21" s="50" t="s">
        <v>53</v>
      </c>
      <c r="C21" s="6">
        <v>112230</v>
      </c>
      <c r="D21" s="6">
        <v>89590</v>
      </c>
      <c r="E21" s="9">
        <v>90942</v>
      </c>
      <c r="F21" s="9">
        <v>91093</v>
      </c>
      <c r="G21" s="9">
        <v>91245</v>
      </c>
      <c r="H21" s="9">
        <v>91397</v>
      </c>
      <c r="I21" s="9">
        <v>91549</v>
      </c>
      <c r="J21" s="9">
        <v>91702</v>
      </c>
    </row>
    <row r="22" spans="1:10" x14ac:dyDescent="0.25">
      <c r="A22" s="15" t="s">
        <v>16</v>
      </c>
      <c r="B22" s="48" t="s">
        <v>51</v>
      </c>
      <c r="C22" s="6">
        <v>26433</v>
      </c>
      <c r="D22" s="6">
        <v>22275</v>
      </c>
      <c r="E22" s="9">
        <v>22611</v>
      </c>
      <c r="F22" s="9">
        <v>22649</v>
      </c>
      <c r="G22" s="9">
        <v>22687</v>
      </c>
      <c r="H22" s="9">
        <v>22725</v>
      </c>
      <c r="I22" s="9">
        <v>22763</v>
      </c>
      <c r="J22" s="9">
        <v>22801</v>
      </c>
    </row>
    <row r="23" spans="1:10" x14ac:dyDescent="0.25">
      <c r="A23" s="15"/>
      <c r="B23" s="49" t="s">
        <v>52</v>
      </c>
      <c r="C23" s="6">
        <v>23405</v>
      </c>
      <c r="D23" s="6">
        <v>18115</v>
      </c>
      <c r="E23" s="9">
        <v>18388</v>
      </c>
      <c r="F23" s="9">
        <v>18419</v>
      </c>
      <c r="G23" s="9">
        <v>18450</v>
      </c>
      <c r="H23" s="9">
        <v>18481</v>
      </c>
      <c r="I23" s="9">
        <v>18512</v>
      </c>
      <c r="J23" s="9">
        <v>18543</v>
      </c>
    </row>
    <row r="24" spans="1:10" x14ac:dyDescent="0.25">
      <c r="A24" s="15"/>
      <c r="B24" s="50" t="s">
        <v>53</v>
      </c>
      <c r="C24" s="6">
        <v>49838</v>
      </c>
      <c r="D24" s="6">
        <v>40390</v>
      </c>
      <c r="E24" s="9">
        <v>40999</v>
      </c>
      <c r="F24" s="9">
        <v>41068</v>
      </c>
      <c r="G24" s="9">
        <v>41137</v>
      </c>
      <c r="H24" s="9">
        <v>41206</v>
      </c>
      <c r="I24" s="9">
        <v>41275</v>
      </c>
      <c r="J24" s="9">
        <v>41344</v>
      </c>
    </row>
    <row r="25" spans="1:10" x14ac:dyDescent="0.25">
      <c r="A25" s="16" t="s">
        <v>14</v>
      </c>
      <c r="B25" s="48" t="s">
        <v>51</v>
      </c>
      <c r="C25" s="6">
        <v>25096</v>
      </c>
      <c r="D25" s="6">
        <v>25923</v>
      </c>
      <c r="E25" s="9">
        <v>26314</v>
      </c>
      <c r="F25" s="9">
        <v>26358</v>
      </c>
      <c r="G25" s="9">
        <v>26402</v>
      </c>
      <c r="H25" s="9">
        <v>26446</v>
      </c>
      <c r="I25" s="9">
        <v>26490</v>
      </c>
      <c r="J25" s="9">
        <v>26534</v>
      </c>
    </row>
    <row r="26" spans="1:10" x14ac:dyDescent="0.25">
      <c r="A26" s="16"/>
      <c r="B26" s="49" t="s">
        <v>52</v>
      </c>
      <c r="C26" s="6">
        <v>26782</v>
      </c>
      <c r="D26" s="6">
        <v>27065</v>
      </c>
      <c r="E26" s="9">
        <v>27473</v>
      </c>
      <c r="F26" s="9">
        <v>27519</v>
      </c>
      <c r="G26" s="9">
        <v>27565</v>
      </c>
      <c r="H26" s="9">
        <v>27611</v>
      </c>
      <c r="I26" s="9">
        <v>27657</v>
      </c>
      <c r="J26" s="9">
        <v>27703</v>
      </c>
    </row>
    <row r="27" spans="1:10" x14ac:dyDescent="0.25">
      <c r="A27" s="16"/>
      <c r="B27" s="50" t="s">
        <v>53</v>
      </c>
      <c r="C27" s="6">
        <v>51878</v>
      </c>
      <c r="D27" s="6">
        <v>52988</v>
      </c>
      <c r="E27" s="9">
        <v>53787</v>
      </c>
      <c r="F27" s="9">
        <v>53877</v>
      </c>
      <c r="G27" s="9">
        <v>53967</v>
      </c>
      <c r="H27" s="9">
        <v>54057</v>
      </c>
      <c r="I27" s="9">
        <v>54147</v>
      </c>
      <c r="J27" s="9">
        <v>54237</v>
      </c>
    </row>
    <row r="28" spans="1:10" x14ac:dyDescent="0.25">
      <c r="A28" s="17" t="s">
        <v>13</v>
      </c>
      <c r="B28" s="48" t="s">
        <v>51</v>
      </c>
      <c r="C28" s="6">
        <v>52038</v>
      </c>
      <c r="D28" s="6">
        <v>39922</v>
      </c>
      <c r="E28" s="9">
        <v>31347</v>
      </c>
      <c r="F28" s="9">
        <v>30516</v>
      </c>
      <c r="G28" s="9">
        <v>29707</v>
      </c>
      <c r="H28" s="9">
        <v>28919</v>
      </c>
      <c r="I28" s="9">
        <v>28152</v>
      </c>
      <c r="J28" s="9">
        <v>27406</v>
      </c>
    </row>
    <row r="29" spans="1:10" x14ac:dyDescent="0.25">
      <c r="A29" s="17"/>
      <c r="B29" s="49" t="s">
        <v>52</v>
      </c>
      <c r="C29" s="6">
        <v>52863</v>
      </c>
      <c r="D29" s="6">
        <v>41481</v>
      </c>
      <c r="E29" s="9">
        <v>32571</v>
      </c>
      <c r="F29" s="9">
        <v>31708</v>
      </c>
      <c r="G29" s="9">
        <v>30867</v>
      </c>
      <c r="H29" s="9">
        <v>30049</v>
      </c>
      <c r="I29" s="9">
        <v>29252</v>
      </c>
      <c r="J29" s="9">
        <v>28477</v>
      </c>
    </row>
    <row r="30" spans="1:10" x14ac:dyDescent="0.25">
      <c r="A30" s="17"/>
      <c r="B30" s="50" t="s">
        <v>53</v>
      </c>
      <c r="C30" s="6">
        <v>104901</v>
      </c>
      <c r="D30" s="6">
        <v>81403</v>
      </c>
      <c r="E30" s="9">
        <v>63918</v>
      </c>
      <c r="F30" s="9">
        <v>62224</v>
      </c>
      <c r="G30" s="9">
        <v>60574</v>
      </c>
      <c r="H30" s="9">
        <v>58968</v>
      </c>
      <c r="I30" s="9">
        <v>57404</v>
      </c>
      <c r="J30" s="9">
        <v>55883</v>
      </c>
    </row>
  </sheetData>
  <mergeCells count="3">
    <mergeCell ref="A1:K1"/>
    <mergeCell ref="B2:B3"/>
    <mergeCell ref="A2:A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5" tint="0.59999389629810485"/>
  </sheetPr>
  <dimension ref="A1:N13"/>
  <sheetViews>
    <sheetView zoomScale="130" zoomScaleNormal="130" workbookViewId="0">
      <selection activeCell="K9" sqref="K9"/>
    </sheetView>
  </sheetViews>
  <sheetFormatPr baseColWidth="10" defaultColWidth="8.7109375" defaultRowHeight="15" x14ac:dyDescent="0.25"/>
  <cols>
    <col min="1" max="1" width="16" style="2" customWidth="1"/>
    <col min="2" max="9" width="13" style="2" customWidth="1"/>
    <col min="10" max="10" width="8.7109375" style="2" customWidth="1"/>
    <col min="11" max="16384" width="8.7109375" style="2"/>
  </cols>
  <sheetData>
    <row r="1" spans="1:14" ht="21.75" customHeight="1" x14ac:dyDescent="0.25">
      <c r="A1" s="86" t="s">
        <v>0</v>
      </c>
      <c r="B1" s="83"/>
      <c r="C1" s="83"/>
      <c r="D1" s="83"/>
      <c r="E1" s="83"/>
      <c r="F1" s="83"/>
      <c r="G1" s="83"/>
      <c r="H1" s="83"/>
      <c r="I1" s="83"/>
    </row>
    <row r="2" spans="1:14" ht="24" customHeight="1" x14ac:dyDescent="0.25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</row>
    <row r="3" spans="1:14" x14ac:dyDescent="0.25">
      <c r="A3" s="20" t="s">
        <v>10</v>
      </c>
      <c r="B3" s="77">
        <f t="shared" ref="B3:B10" si="0">SUM(C3:E3)</f>
        <v>61</v>
      </c>
      <c r="C3" s="21">
        <v>44</v>
      </c>
      <c r="D3" s="21">
        <v>11</v>
      </c>
      <c r="E3" s="23">
        <v>6</v>
      </c>
      <c r="F3" s="21">
        <v>45</v>
      </c>
      <c r="G3" s="24">
        <v>32</v>
      </c>
      <c r="H3" s="22">
        <v>20</v>
      </c>
      <c r="I3" s="23">
        <v>57</v>
      </c>
    </row>
    <row r="4" spans="1:14" x14ac:dyDescent="0.25">
      <c r="A4" s="25" t="s">
        <v>11</v>
      </c>
      <c r="B4" s="77">
        <f t="shared" si="0"/>
        <v>10</v>
      </c>
      <c r="C4" s="21">
        <v>7</v>
      </c>
      <c r="D4" s="21">
        <v>2</v>
      </c>
      <c r="E4" s="23">
        <v>1</v>
      </c>
      <c r="F4" s="21">
        <v>10</v>
      </c>
      <c r="G4" s="24">
        <v>2</v>
      </c>
      <c r="H4" s="22">
        <v>6</v>
      </c>
      <c r="I4" s="23">
        <v>6</v>
      </c>
    </row>
    <row r="5" spans="1:14" x14ac:dyDescent="0.25">
      <c r="A5" s="26" t="s">
        <v>12</v>
      </c>
      <c r="B5" s="77">
        <f t="shared" si="0"/>
        <v>7</v>
      </c>
      <c r="C5" s="21">
        <v>6</v>
      </c>
      <c r="D5" s="21">
        <v>1</v>
      </c>
      <c r="E5" s="27">
        <v>0</v>
      </c>
      <c r="F5" s="21">
        <v>5</v>
      </c>
      <c r="G5" s="24">
        <v>2</v>
      </c>
      <c r="H5" s="22">
        <v>5</v>
      </c>
      <c r="I5" s="23">
        <v>2</v>
      </c>
    </row>
    <row r="6" spans="1:14" x14ac:dyDescent="0.25">
      <c r="A6" s="28" t="s">
        <v>13</v>
      </c>
      <c r="B6" s="77">
        <f t="shared" si="0"/>
        <v>5</v>
      </c>
      <c r="C6" s="21">
        <v>4</v>
      </c>
      <c r="D6" s="21">
        <v>1</v>
      </c>
      <c r="E6" s="27">
        <v>0</v>
      </c>
      <c r="F6" s="21">
        <v>5</v>
      </c>
      <c r="G6" s="24">
        <v>0</v>
      </c>
      <c r="H6" s="22">
        <v>3</v>
      </c>
      <c r="I6" s="23">
        <v>2</v>
      </c>
    </row>
    <row r="7" spans="1:14" x14ac:dyDescent="0.25">
      <c r="A7" s="29" t="s">
        <v>14</v>
      </c>
      <c r="B7" s="77">
        <f t="shared" si="0"/>
        <v>5</v>
      </c>
      <c r="C7" s="21">
        <v>3</v>
      </c>
      <c r="D7" s="21">
        <v>2</v>
      </c>
      <c r="E7" s="27">
        <v>0</v>
      </c>
      <c r="F7" s="21">
        <v>4</v>
      </c>
      <c r="G7" s="24">
        <v>1</v>
      </c>
      <c r="H7" s="22">
        <v>1</v>
      </c>
      <c r="I7" s="23">
        <v>4</v>
      </c>
    </row>
    <row r="8" spans="1:14" x14ac:dyDescent="0.25">
      <c r="A8" s="30" t="s">
        <v>15</v>
      </c>
      <c r="B8" s="77">
        <f t="shared" si="0"/>
        <v>4</v>
      </c>
      <c r="C8" s="21">
        <v>3</v>
      </c>
      <c r="D8" s="21">
        <v>1</v>
      </c>
      <c r="E8" s="27">
        <v>0</v>
      </c>
      <c r="F8" s="21">
        <v>3</v>
      </c>
      <c r="G8" s="24">
        <v>1</v>
      </c>
      <c r="H8" s="22">
        <v>1</v>
      </c>
      <c r="I8" s="23">
        <v>3</v>
      </c>
    </row>
    <row r="9" spans="1:14" x14ac:dyDescent="0.25">
      <c r="A9" s="31" t="s">
        <v>16</v>
      </c>
      <c r="B9" s="77">
        <f t="shared" si="0"/>
        <v>4</v>
      </c>
      <c r="C9" s="21">
        <v>3</v>
      </c>
      <c r="D9" s="21">
        <v>1</v>
      </c>
      <c r="E9" s="27">
        <v>0</v>
      </c>
      <c r="F9" s="21">
        <v>1</v>
      </c>
      <c r="G9" s="24">
        <v>3</v>
      </c>
      <c r="H9" s="22">
        <v>3</v>
      </c>
      <c r="I9" s="23">
        <v>1</v>
      </c>
    </row>
    <row r="10" spans="1:14" x14ac:dyDescent="0.25">
      <c r="A10" s="32" t="s">
        <v>17</v>
      </c>
      <c r="B10" s="77">
        <f t="shared" si="0"/>
        <v>4</v>
      </c>
      <c r="C10" s="21">
        <v>3</v>
      </c>
      <c r="D10" s="21">
        <v>1</v>
      </c>
      <c r="E10" s="27">
        <v>0</v>
      </c>
      <c r="F10" s="21">
        <v>4</v>
      </c>
      <c r="G10" s="24">
        <v>0</v>
      </c>
      <c r="H10" s="22">
        <v>2</v>
      </c>
      <c r="I10" s="23">
        <v>2</v>
      </c>
    </row>
    <row r="11" spans="1:14" x14ac:dyDescent="0.25">
      <c r="A11" s="20" t="s">
        <v>18</v>
      </c>
      <c r="B11" s="33">
        <f>SUM(B3:B10)</f>
        <v>100</v>
      </c>
      <c r="C11" s="33">
        <f>SUM(C3:C10)</f>
        <v>73</v>
      </c>
      <c r="D11" s="33">
        <f>SUM(D3:D10)</f>
        <v>20</v>
      </c>
      <c r="E11" s="33">
        <v>21</v>
      </c>
      <c r="F11" s="33">
        <v>77</v>
      </c>
      <c r="G11" s="33">
        <v>44</v>
      </c>
      <c r="H11" s="33">
        <v>41</v>
      </c>
      <c r="I11" s="33">
        <v>80</v>
      </c>
    </row>
    <row r="13" spans="1:14" x14ac:dyDescent="0.25">
      <c r="N13" s="70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5" tint="0.59999389629810485"/>
  </sheetPr>
  <dimension ref="A1:H128"/>
  <sheetViews>
    <sheetView topLeftCell="A96" zoomScale="110" zoomScaleNormal="110" workbookViewId="0">
      <selection activeCell="M111" sqref="M111"/>
    </sheetView>
  </sheetViews>
  <sheetFormatPr baseColWidth="10" defaultColWidth="8.7109375" defaultRowHeight="15" x14ac:dyDescent="0.25"/>
  <cols>
    <col min="1" max="1" width="14" style="2" customWidth="1"/>
    <col min="2" max="2" width="8" style="2" customWidth="1"/>
    <col min="3" max="3" width="24" style="2" customWidth="1"/>
    <col min="4" max="4" width="6" style="2" customWidth="1"/>
    <col min="5" max="5" width="20" style="2" customWidth="1"/>
    <col min="6" max="6" width="38" style="2" customWidth="1"/>
    <col min="7" max="7" width="8" style="2" customWidth="1"/>
    <col min="8" max="8" width="16" style="2" customWidth="1"/>
    <col min="9" max="9" width="8.7109375" style="2" customWidth="1"/>
    <col min="10" max="16384" width="8.7109375" style="2"/>
  </cols>
  <sheetData>
    <row r="1" spans="1:8" ht="21.75" customHeight="1" x14ac:dyDescent="0.25">
      <c r="A1" s="86" t="s">
        <v>54</v>
      </c>
      <c r="B1" s="83"/>
      <c r="C1" s="83"/>
      <c r="D1" s="83"/>
      <c r="E1" s="83"/>
      <c r="F1" s="83"/>
      <c r="G1" s="83"/>
      <c r="H1" s="83"/>
    </row>
    <row r="2" spans="1:8" x14ac:dyDescent="0.25">
      <c r="A2" s="19" t="s">
        <v>1</v>
      </c>
      <c r="B2" s="19" t="s">
        <v>55</v>
      </c>
      <c r="C2" s="19" t="s">
        <v>56</v>
      </c>
      <c r="D2" s="19" t="s">
        <v>57</v>
      </c>
      <c r="E2" s="19" t="s">
        <v>58</v>
      </c>
      <c r="F2" s="19" t="s">
        <v>59</v>
      </c>
      <c r="G2" s="19" t="s">
        <v>60</v>
      </c>
      <c r="H2" s="19" t="s">
        <v>61</v>
      </c>
    </row>
    <row r="3" spans="1:8" ht="18" customHeight="1" x14ac:dyDescent="0.25">
      <c r="A3" s="92" t="s">
        <v>62</v>
      </c>
      <c r="B3" s="88"/>
      <c r="C3" s="88"/>
      <c r="D3" s="88"/>
      <c r="E3" s="88"/>
      <c r="F3" s="88"/>
      <c r="G3" s="88"/>
      <c r="H3" s="88"/>
    </row>
    <row r="4" spans="1:8" x14ac:dyDescent="0.25">
      <c r="A4" s="27"/>
      <c r="B4" s="34" t="s">
        <v>5</v>
      </c>
      <c r="C4" s="35" t="s">
        <v>63</v>
      </c>
      <c r="D4" s="27" t="s">
        <v>64</v>
      </c>
      <c r="E4" s="35" t="s">
        <v>10</v>
      </c>
      <c r="F4" s="35" t="s">
        <v>65</v>
      </c>
      <c r="G4" s="21" t="s">
        <v>66</v>
      </c>
      <c r="H4" s="22" t="s">
        <v>67</v>
      </c>
    </row>
    <row r="5" spans="1:8" x14ac:dyDescent="0.25">
      <c r="A5" s="71"/>
      <c r="B5" s="34" t="s">
        <v>5</v>
      </c>
      <c r="C5" s="35" t="s">
        <v>63</v>
      </c>
      <c r="D5" s="27" t="s">
        <v>64</v>
      </c>
      <c r="E5" s="35" t="s">
        <v>10</v>
      </c>
      <c r="F5" s="35" t="s">
        <v>68</v>
      </c>
      <c r="G5" s="21" t="s">
        <v>69</v>
      </c>
      <c r="H5" s="22" t="s">
        <v>70</v>
      </c>
    </row>
    <row r="6" spans="1:8" x14ac:dyDescent="0.25">
      <c r="A6" s="71"/>
      <c r="B6" s="34" t="s">
        <v>5</v>
      </c>
      <c r="C6" s="35" t="s">
        <v>63</v>
      </c>
      <c r="D6" s="27" t="s">
        <v>64</v>
      </c>
      <c r="E6" s="35" t="s">
        <v>10</v>
      </c>
      <c r="F6" s="35" t="s">
        <v>71</v>
      </c>
      <c r="G6" s="21" t="s">
        <v>66</v>
      </c>
      <c r="H6" s="22" t="s">
        <v>72</v>
      </c>
    </row>
    <row r="7" spans="1:8" x14ac:dyDescent="0.25">
      <c r="A7" s="71"/>
      <c r="B7" s="34" t="s">
        <v>5</v>
      </c>
      <c r="C7" s="35" t="s">
        <v>63</v>
      </c>
      <c r="D7" s="27" t="s">
        <v>73</v>
      </c>
      <c r="E7" s="35" t="s">
        <v>10</v>
      </c>
      <c r="F7" s="35" t="s">
        <v>74</v>
      </c>
      <c r="G7" s="21" t="s">
        <v>66</v>
      </c>
      <c r="H7" s="22" t="s">
        <v>67</v>
      </c>
    </row>
    <row r="8" spans="1:8" x14ac:dyDescent="0.25">
      <c r="A8" s="71"/>
      <c r="B8" s="34" t="s">
        <v>5</v>
      </c>
      <c r="C8" s="35" t="s">
        <v>63</v>
      </c>
      <c r="D8" s="27" t="s">
        <v>73</v>
      </c>
      <c r="E8" s="35" t="s">
        <v>10</v>
      </c>
      <c r="F8" s="35" t="s">
        <v>75</v>
      </c>
      <c r="G8" s="21" t="s">
        <v>66</v>
      </c>
      <c r="H8" s="23" t="s">
        <v>70</v>
      </c>
    </row>
    <row r="9" spans="1:8" x14ac:dyDescent="0.25">
      <c r="A9" s="71"/>
      <c r="B9" s="34" t="s">
        <v>5</v>
      </c>
      <c r="C9" s="35" t="s">
        <v>63</v>
      </c>
      <c r="D9" s="27" t="s">
        <v>73</v>
      </c>
      <c r="E9" s="35" t="s">
        <v>10</v>
      </c>
      <c r="F9" s="35" t="s">
        <v>76</v>
      </c>
      <c r="G9" s="21" t="s">
        <v>66</v>
      </c>
      <c r="H9" s="22" t="s">
        <v>72</v>
      </c>
    </row>
    <row r="10" spans="1:8" ht="24" customHeight="1" x14ac:dyDescent="0.25">
      <c r="A10" s="71"/>
      <c r="B10" s="36" t="s">
        <v>5</v>
      </c>
      <c r="C10" s="35" t="s">
        <v>77</v>
      </c>
      <c r="D10" s="27" t="s">
        <v>78</v>
      </c>
      <c r="E10" s="35" t="s">
        <v>10</v>
      </c>
      <c r="F10" s="35" t="s">
        <v>79</v>
      </c>
      <c r="G10" s="21" t="s">
        <v>66</v>
      </c>
      <c r="H10" s="22" t="s">
        <v>67</v>
      </c>
    </row>
    <row r="11" spans="1:8" x14ac:dyDescent="0.25">
      <c r="A11" s="71"/>
      <c r="B11" s="36" t="s">
        <v>5</v>
      </c>
      <c r="C11" s="35" t="s">
        <v>77</v>
      </c>
      <c r="D11" s="27" t="s">
        <v>78</v>
      </c>
      <c r="E11" s="35" t="s">
        <v>10</v>
      </c>
      <c r="F11" s="35" t="s">
        <v>80</v>
      </c>
      <c r="G11" s="21" t="s">
        <v>69</v>
      </c>
      <c r="H11" s="22" t="s">
        <v>70</v>
      </c>
    </row>
    <row r="12" spans="1:8" x14ac:dyDescent="0.25">
      <c r="A12" s="71"/>
      <c r="B12" s="36" t="s">
        <v>5</v>
      </c>
      <c r="C12" s="35" t="s">
        <v>77</v>
      </c>
      <c r="D12" s="27" t="s">
        <v>78</v>
      </c>
      <c r="E12" s="35" t="s">
        <v>10</v>
      </c>
      <c r="F12" s="35" t="s">
        <v>81</v>
      </c>
      <c r="G12" s="24" t="s">
        <v>66</v>
      </c>
      <c r="H12" s="22" t="s">
        <v>72</v>
      </c>
    </row>
    <row r="13" spans="1:8" x14ac:dyDescent="0.25">
      <c r="A13" s="71"/>
      <c r="B13" s="36" t="s">
        <v>5</v>
      </c>
      <c r="C13" s="35" t="s">
        <v>24</v>
      </c>
      <c r="D13" s="27" t="s">
        <v>78</v>
      </c>
      <c r="E13" s="35" t="s">
        <v>10</v>
      </c>
      <c r="F13" s="35" t="s">
        <v>82</v>
      </c>
      <c r="G13" s="21" t="s">
        <v>66</v>
      </c>
      <c r="H13" s="37" t="s">
        <v>67</v>
      </c>
    </row>
    <row r="14" spans="1:8" x14ac:dyDescent="0.25">
      <c r="A14" s="71"/>
      <c r="B14" s="36" t="s">
        <v>5</v>
      </c>
      <c r="C14" s="35" t="s">
        <v>24</v>
      </c>
      <c r="D14" s="27" t="s">
        <v>78</v>
      </c>
      <c r="E14" s="35" t="s">
        <v>10</v>
      </c>
      <c r="F14" s="35" t="s">
        <v>83</v>
      </c>
      <c r="G14" s="21" t="s">
        <v>69</v>
      </c>
      <c r="H14" s="37" t="s">
        <v>70</v>
      </c>
    </row>
    <row r="15" spans="1:8" x14ac:dyDescent="0.25">
      <c r="A15" s="71"/>
      <c r="B15" s="36" t="s">
        <v>5</v>
      </c>
      <c r="C15" s="35" t="s">
        <v>24</v>
      </c>
      <c r="D15" s="27" t="s">
        <v>78</v>
      </c>
      <c r="E15" s="35" t="s">
        <v>10</v>
      </c>
      <c r="F15" s="35" t="s">
        <v>84</v>
      </c>
      <c r="G15" s="21" t="s">
        <v>69</v>
      </c>
      <c r="H15" s="37" t="s">
        <v>72</v>
      </c>
    </row>
    <row r="16" spans="1:8" x14ac:dyDescent="0.25">
      <c r="A16" s="71"/>
      <c r="B16" s="36" t="s">
        <v>5</v>
      </c>
      <c r="C16" s="35" t="s">
        <v>26</v>
      </c>
      <c r="D16" s="27" t="s">
        <v>64</v>
      </c>
      <c r="E16" s="35" t="s">
        <v>10</v>
      </c>
      <c r="F16" s="35" t="s">
        <v>85</v>
      </c>
      <c r="G16" s="24" t="s">
        <v>66</v>
      </c>
      <c r="H16" s="37" t="s">
        <v>67</v>
      </c>
    </row>
    <row r="17" spans="1:8" x14ac:dyDescent="0.25">
      <c r="A17" s="71"/>
      <c r="B17" s="36" t="s">
        <v>5</v>
      </c>
      <c r="C17" s="35" t="s">
        <v>26</v>
      </c>
      <c r="D17" s="27" t="s">
        <v>64</v>
      </c>
      <c r="E17" s="35" t="s">
        <v>10</v>
      </c>
      <c r="F17" s="35" t="s">
        <v>86</v>
      </c>
      <c r="G17" s="24" t="s">
        <v>66</v>
      </c>
      <c r="H17" s="37" t="s">
        <v>70</v>
      </c>
    </row>
    <row r="18" spans="1:8" x14ac:dyDescent="0.25">
      <c r="A18" s="71"/>
      <c r="B18" s="36" t="s">
        <v>5</v>
      </c>
      <c r="C18" s="35" t="s">
        <v>26</v>
      </c>
      <c r="D18" s="27" t="s">
        <v>64</v>
      </c>
      <c r="E18" s="35" t="s">
        <v>10</v>
      </c>
      <c r="F18" s="35" t="s">
        <v>87</v>
      </c>
      <c r="G18" s="24" t="s">
        <v>66</v>
      </c>
      <c r="H18" s="23" t="s">
        <v>72</v>
      </c>
    </row>
    <row r="19" spans="1:8" x14ac:dyDescent="0.25">
      <c r="A19" s="71"/>
      <c r="B19" s="36" t="s">
        <v>5</v>
      </c>
      <c r="C19" s="35" t="s">
        <v>26</v>
      </c>
      <c r="D19" s="27" t="s">
        <v>73</v>
      </c>
      <c r="E19" s="35" t="s">
        <v>10</v>
      </c>
      <c r="F19" s="35" t="s">
        <v>88</v>
      </c>
      <c r="G19" s="21" t="s">
        <v>66</v>
      </c>
      <c r="H19" s="37" t="s">
        <v>67</v>
      </c>
    </row>
    <row r="20" spans="1:8" x14ac:dyDescent="0.25">
      <c r="A20" s="27"/>
      <c r="B20" s="36" t="s">
        <v>5</v>
      </c>
      <c r="C20" s="35" t="s">
        <v>26</v>
      </c>
      <c r="D20" s="27" t="s">
        <v>73</v>
      </c>
      <c r="E20" s="35" t="s">
        <v>10</v>
      </c>
      <c r="F20" s="35" t="s">
        <v>89</v>
      </c>
      <c r="G20" s="24" t="s">
        <v>66</v>
      </c>
      <c r="H20" s="23" t="s">
        <v>70</v>
      </c>
    </row>
    <row r="21" spans="1:8" x14ac:dyDescent="0.25">
      <c r="A21" s="27"/>
      <c r="B21" s="36" t="s">
        <v>5</v>
      </c>
      <c r="C21" s="35" t="s">
        <v>26</v>
      </c>
      <c r="D21" s="27" t="s">
        <v>73</v>
      </c>
      <c r="E21" s="35" t="s">
        <v>10</v>
      </c>
      <c r="F21" s="35" t="s">
        <v>90</v>
      </c>
      <c r="G21" s="21" t="s">
        <v>66</v>
      </c>
      <c r="H21" s="23" t="s">
        <v>72</v>
      </c>
    </row>
    <row r="22" spans="1:8" x14ac:dyDescent="0.25">
      <c r="A22" s="27"/>
      <c r="B22" s="36" t="s">
        <v>91</v>
      </c>
      <c r="C22" s="35" t="s">
        <v>92</v>
      </c>
      <c r="D22" s="27" t="s">
        <v>78</v>
      </c>
      <c r="E22" s="35" t="s">
        <v>10</v>
      </c>
      <c r="F22" s="35" t="s">
        <v>93</v>
      </c>
      <c r="G22" s="21" t="s">
        <v>66</v>
      </c>
      <c r="H22" s="23" t="s">
        <v>67</v>
      </c>
    </row>
    <row r="23" spans="1:8" x14ac:dyDescent="0.25">
      <c r="A23" s="27"/>
      <c r="B23" s="36" t="s">
        <v>91</v>
      </c>
      <c r="C23" s="35" t="s">
        <v>92</v>
      </c>
      <c r="D23" s="27" t="s">
        <v>78</v>
      </c>
      <c r="E23" s="35" t="s">
        <v>10</v>
      </c>
      <c r="F23" s="35" t="s">
        <v>94</v>
      </c>
      <c r="G23" s="24" t="s">
        <v>66</v>
      </c>
      <c r="H23" s="23" t="s">
        <v>70</v>
      </c>
    </row>
    <row r="24" spans="1:8" x14ac:dyDescent="0.25">
      <c r="A24" s="27"/>
      <c r="B24" s="36" t="s">
        <v>91</v>
      </c>
      <c r="C24" s="35" t="s">
        <v>92</v>
      </c>
      <c r="D24" s="27" t="s">
        <v>78</v>
      </c>
      <c r="E24" s="35" t="s">
        <v>10</v>
      </c>
      <c r="F24" s="35" t="s">
        <v>95</v>
      </c>
      <c r="G24" s="24" t="s">
        <v>66</v>
      </c>
      <c r="H24" s="23" t="s">
        <v>70</v>
      </c>
    </row>
    <row r="25" spans="1:8" x14ac:dyDescent="0.25">
      <c r="A25" s="27"/>
      <c r="B25" s="36" t="s">
        <v>91</v>
      </c>
      <c r="C25" s="35" t="s">
        <v>96</v>
      </c>
      <c r="D25" s="27" t="s">
        <v>64</v>
      </c>
      <c r="E25" s="35" t="s">
        <v>10</v>
      </c>
      <c r="F25" s="35" t="s">
        <v>97</v>
      </c>
      <c r="G25" s="21" t="s">
        <v>69</v>
      </c>
      <c r="H25" s="23" t="s">
        <v>70</v>
      </c>
    </row>
    <row r="26" spans="1:8" x14ac:dyDescent="0.25">
      <c r="A26" s="27"/>
      <c r="B26" s="36" t="s">
        <v>91</v>
      </c>
      <c r="C26" s="35" t="s">
        <v>96</v>
      </c>
      <c r="D26" s="27" t="s">
        <v>64</v>
      </c>
      <c r="E26" s="35" t="s">
        <v>10</v>
      </c>
      <c r="F26" s="35" t="s">
        <v>98</v>
      </c>
      <c r="G26" s="24" t="s">
        <v>69</v>
      </c>
      <c r="H26" s="37" t="s">
        <v>70</v>
      </c>
    </row>
    <row r="27" spans="1:8" x14ac:dyDescent="0.25">
      <c r="A27" s="27"/>
      <c r="B27" s="36" t="s">
        <v>91</v>
      </c>
      <c r="C27" s="35" t="s">
        <v>96</v>
      </c>
      <c r="D27" s="27" t="s">
        <v>64</v>
      </c>
      <c r="E27" s="35" t="s">
        <v>10</v>
      </c>
      <c r="F27" s="35" t="s">
        <v>99</v>
      </c>
      <c r="G27" s="21" t="s">
        <v>66</v>
      </c>
      <c r="H27" s="22" t="s">
        <v>70</v>
      </c>
    </row>
    <row r="28" spans="1:8" x14ac:dyDescent="0.25">
      <c r="A28" s="27"/>
      <c r="B28" s="36" t="s">
        <v>91</v>
      </c>
      <c r="C28" s="35" t="s">
        <v>24</v>
      </c>
      <c r="D28" s="27" t="s">
        <v>64</v>
      </c>
      <c r="E28" s="35" t="s">
        <v>10</v>
      </c>
      <c r="F28" s="35" t="s">
        <v>100</v>
      </c>
      <c r="G28" s="21" t="s">
        <v>66</v>
      </c>
      <c r="H28" s="22" t="s">
        <v>67</v>
      </c>
    </row>
    <row r="29" spans="1:8" x14ac:dyDescent="0.25">
      <c r="A29" s="27"/>
      <c r="B29" s="36" t="s">
        <v>91</v>
      </c>
      <c r="C29" s="35" t="s">
        <v>24</v>
      </c>
      <c r="D29" s="27" t="s">
        <v>73</v>
      </c>
      <c r="E29" s="35" t="s">
        <v>10</v>
      </c>
      <c r="F29" s="35" t="s">
        <v>101</v>
      </c>
      <c r="G29" s="24" t="s">
        <v>66</v>
      </c>
      <c r="H29" s="37" t="s">
        <v>67</v>
      </c>
    </row>
    <row r="30" spans="1:8" x14ac:dyDescent="0.25">
      <c r="A30" s="27"/>
      <c r="B30" s="36" t="s">
        <v>91</v>
      </c>
      <c r="C30" s="35" t="s">
        <v>24</v>
      </c>
      <c r="D30" s="27" t="s">
        <v>102</v>
      </c>
      <c r="E30" s="35" t="s">
        <v>10</v>
      </c>
      <c r="F30" s="35" t="s">
        <v>103</v>
      </c>
      <c r="G30" s="24" t="s">
        <v>69</v>
      </c>
      <c r="H30" s="37" t="s">
        <v>67</v>
      </c>
    </row>
    <row r="31" spans="1:8" x14ac:dyDescent="0.25">
      <c r="A31" s="27"/>
      <c r="B31" s="36" t="s">
        <v>91</v>
      </c>
      <c r="C31" s="35" t="s">
        <v>24</v>
      </c>
      <c r="D31" s="27" t="s">
        <v>104</v>
      </c>
      <c r="E31" s="35" t="s">
        <v>10</v>
      </c>
      <c r="F31" s="35" t="s">
        <v>105</v>
      </c>
      <c r="G31" s="21" t="s">
        <v>66</v>
      </c>
      <c r="H31" s="37" t="s">
        <v>70</v>
      </c>
    </row>
    <row r="32" spans="1:8" x14ac:dyDescent="0.25">
      <c r="A32" s="27"/>
      <c r="B32" s="36" t="s">
        <v>91</v>
      </c>
      <c r="C32" s="35" t="s">
        <v>24</v>
      </c>
      <c r="D32" s="27" t="s">
        <v>106</v>
      </c>
      <c r="E32" s="35" t="s">
        <v>10</v>
      </c>
      <c r="F32" s="35" t="s">
        <v>107</v>
      </c>
      <c r="G32" s="21" t="s">
        <v>66</v>
      </c>
      <c r="H32" s="22" t="s">
        <v>70</v>
      </c>
    </row>
    <row r="33" spans="1:8" x14ac:dyDescent="0.25">
      <c r="A33" s="27"/>
      <c r="B33" s="36" t="s">
        <v>91</v>
      </c>
      <c r="C33" s="35" t="s">
        <v>108</v>
      </c>
      <c r="D33" s="27" t="s">
        <v>78</v>
      </c>
      <c r="E33" s="35" t="s">
        <v>10</v>
      </c>
      <c r="F33" s="35" t="s">
        <v>109</v>
      </c>
      <c r="G33" s="21" t="s">
        <v>66</v>
      </c>
      <c r="H33" s="37" t="s">
        <v>70</v>
      </c>
    </row>
    <row r="34" spans="1:8" x14ac:dyDescent="0.25">
      <c r="A34" s="27"/>
      <c r="B34" s="36" t="s">
        <v>91</v>
      </c>
      <c r="C34" s="35" t="s">
        <v>28</v>
      </c>
      <c r="D34" s="27" t="s">
        <v>78</v>
      </c>
      <c r="E34" s="35" t="s">
        <v>10</v>
      </c>
      <c r="F34" s="35" t="s">
        <v>110</v>
      </c>
      <c r="G34" s="21" t="s">
        <v>69</v>
      </c>
      <c r="H34" s="22" t="s">
        <v>70</v>
      </c>
    </row>
    <row r="35" spans="1:8" x14ac:dyDescent="0.25">
      <c r="A35" s="27"/>
      <c r="B35" s="36" t="s">
        <v>91</v>
      </c>
      <c r="C35" s="35" t="s">
        <v>25</v>
      </c>
      <c r="D35" s="27" t="s">
        <v>64</v>
      </c>
      <c r="E35" s="35" t="s">
        <v>10</v>
      </c>
      <c r="F35" s="35" t="s">
        <v>111</v>
      </c>
      <c r="G35" s="24" t="s">
        <v>69</v>
      </c>
      <c r="H35" s="37" t="s">
        <v>70</v>
      </c>
    </row>
    <row r="36" spans="1:8" x14ac:dyDescent="0.25">
      <c r="A36" s="27"/>
      <c r="B36" s="36" t="s">
        <v>91</v>
      </c>
      <c r="C36" s="35" t="s">
        <v>25</v>
      </c>
      <c r="D36" s="27" t="s">
        <v>73</v>
      </c>
      <c r="E36" s="35" t="s">
        <v>10</v>
      </c>
      <c r="F36" s="35" t="s">
        <v>112</v>
      </c>
      <c r="G36" s="21" t="s">
        <v>69</v>
      </c>
      <c r="H36" s="37" t="s">
        <v>72</v>
      </c>
    </row>
    <row r="37" spans="1:8" x14ac:dyDescent="0.25">
      <c r="A37" s="27"/>
      <c r="B37" s="36" t="s">
        <v>91</v>
      </c>
      <c r="C37" s="35" t="s">
        <v>25</v>
      </c>
      <c r="D37" s="27" t="s">
        <v>102</v>
      </c>
      <c r="E37" s="35" t="s">
        <v>10</v>
      </c>
      <c r="F37" s="35" t="s">
        <v>113</v>
      </c>
      <c r="G37" s="21" t="s">
        <v>66</v>
      </c>
      <c r="H37" s="22" t="s">
        <v>70</v>
      </c>
    </row>
    <row r="38" spans="1:8" x14ac:dyDescent="0.25">
      <c r="A38" s="27"/>
      <c r="B38" s="36" t="s">
        <v>91</v>
      </c>
      <c r="C38" s="35" t="s">
        <v>25</v>
      </c>
      <c r="D38" s="27" t="s">
        <v>104</v>
      </c>
      <c r="E38" s="35" t="s">
        <v>10</v>
      </c>
      <c r="F38" s="35" t="s">
        <v>114</v>
      </c>
      <c r="G38" s="24" t="s">
        <v>69</v>
      </c>
      <c r="H38" s="22" t="s">
        <v>72</v>
      </c>
    </row>
    <row r="39" spans="1:8" x14ac:dyDescent="0.25">
      <c r="A39" s="27"/>
      <c r="B39" s="36" t="s">
        <v>91</v>
      </c>
      <c r="C39" s="35" t="s">
        <v>115</v>
      </c>
      <c r="D39" s="27" t="s">
        <v>106</v>
      </c>
      <c r="E39" s="35" t="s">
        <v>10</v>
      </c>
      <c r="F39" s="35" t="s">
        <v>116</v>
      </c>
      <c r="G39" s="24" t="s">
        <v>66</v>
      </c>
      <c r="H39" s="23" t="s">
        <v>72</v>
      </c>
    </row>
    <row r="40" spans="1:8" x14ac:dyDescent="0.25">
      <c r="A40" s="27"/>
      <c r="B40" s="36" t="s">
        <v>91</v>
      </c>
      <c r="C40" s="35" t="s">
        <v>115</v>
      </c>
      <c r="D40" s="27" t="s">
        <v>117</v>
      </c>
      <c r="E40" s="35" t="s">
        <v>10</v>
      </c>
      <c r="F40" s="35" t="s">
        <v>118</v>
      </c>
      <c r="G40" s="21" t="s">
        <v>69</v>
      </c>
      <c r="H40" s="37" t="s">
        <v>72</v>
      </c>
    </row>
    <row r="41" spans="1:8" x14ac:dyDescent="0.25">
      <c r="A41" s="27"/>
      <c r="B41" s="38" t="s">
        <v>91</v>
      </c>
      <c r="C41" s="35" t="s">
        <v>115</v>
      </c>
      <c r="D41" s="27" t="s">
        <v>119</v>
      </c>
      <c r="E41" s="35" t="s">
        <v>10</v>
      </c>
      <c r="F41" s="35" t="s">
        <v>120</v>
      </c>
      <c r="G41" s="21" t="s">
        <v>69</v>
      </c>
      <c r="H41" s="23" t="s">
        <v>72</v>
      </c>
    </row>
    <row r="42" spans="1:8" x14ac:dyDescent="0.25">
      <c r="A42" s="27"/>
      <c r="B42" s="38" t="s">
        <v>91</v>
      </c>
      <c r="C42" s="35" t="s">
        <v>115</v>
      </c>
      <c r="D42" s="27" t="s">
        <v>121</v>
      </c>
      <c r="E42" s="35" t="s">
        <v>10</v>
      </c>
      <c r="F42" s="35" t="s">
        <v>122</v>
      </c>
      <c r="G42" s="24" t="s">
        <v>66</v>
      </c>
      <c r="H42" s="22" t="s">
        <v>72</v>
      </c>
    </row>
    <row r="43" spans="1:8" x14ac:dyDescent="0.25">
      <c r="A43" s="27"/>
      <c r="B43" s="38" t="s">
        <v>91</v>
      </c>
      <c r="C43" s="35" t="s">
        <v>115</v>
      </c>
      <c r="D43" s="27" t="s">
        <v>123</v>
      </c>
      <c r="E43" s="35" t="s">
        <v>10</v>
      </c>
      <c r="F43" s="35" t="s">
        <v>124</v>
      </c>
      <c r="G43" s="24" t="s">
        <v>69</v>
      </c>
      <c r="H43" s="37" t="s">
        <v>70</v>
      </c>
    </row>
    <row r="44" spans="1:8" x14ac:dyDescent="0.25">
      <c r="A44" s="27"/>
      <c r="B44" s="38" t="s">
        <v>91</v>
      </c>
      <c r="C44" s="35" t="s">
        <v>115</v>
      </c>
      <c r="D44" s="27" t="s">
        <v>125</v>
      </c>
      <c r="E44" s="35" t="s">
        <v>10</v>
      </c>
      <c r="F44" s="35" t="s">
        <v>126</v>
      </c>
      <c r="G44" s="24" t="s">
        <v>66</v>
      </c>
      <c r="H44" s="37" t="s">
        <v>72</v>
      </c>
    </row>
    <row r="45" spans="1:8" ht="24" customHeight="1" x14ac:dyDescent="0.25">
      <c r="A45" s="27"/>
      <c r="B45" s="38" t="s">
        <v>91</v>
      </c>
      <c r="C45" s="35" t="s">
        <v>127</v>
      </c>
      <c r="D45" s="27" t="s">
        <v>106</v>
      </c>
      <c r="E45" s="35" t="s">
        <v>10</v>
      </c>
      <c r="F45" s="35" t="s">
        <v>128</v>
      </c>
      <c r="G45" s="21" t="s">
        <v>69</v>
      </c>
      <c r="H45" s="22" t="s">
        <v>70</v>
      </c>
    </row>
    <row r="46" spans="1:8" x14ac:dyDescent="0.25">
      <c r="A46" s="27"/>
      <c r="B46" s="38" t="s">
        <v>91</v>
      </c>
      <c r="C46" s="35" t="s">
        <v>127</v>
      </c>
      <c r="D46" s="27" t="s">
        <v>117</v>
      </c>
      <c r="E46" s="35" t="s">
        <v>10</v>
      </c>
      <c r="F46" s="35" t="s">
        <v>129</v>
      </c>
      <c r="G46" s="21" t="s">
        <v>66</v>
      </c>
      <c r="H46" s="37" t="s">
        <v>67</v>
      </c>
    </row>
    <row r="47" spans="1:8" ht="24" customHeight="1" x14ac:dyDescent="0.25">
      <c r="A47" s="27"/>
      <c r="B47" s="38" t="s">
        <v>91</v>
      </c>
      <c r="C47" s="35" t="s">
        <v>130</v>
      </c>
      <c r="D47" s="27" t="s">
        <v>64</v>
      </c>
      <c r="E47" s="35" t="s">
        <v>10</v>
      </c>
      <c r="F47" s="35" t="s">
        <v>131</v>
      </c>
      <c r="G47" s="24" t="s">
        <v>69</v>
      </c>
      <c r="H47" s="37" t="s">
        <v>70</v>
      </c>
    </row>
    <row r="48" spans="1:8" ht="24" customHeight="1" x14ac:dyDescent="0.25">
      <c r="A48" s="27"/>
      <c r="B48" s="38" t="s">
        <v>91</v>
      </c>
      <c r="C48" s="35" t="s">
        <v>130</v>
      </c>
      <c r="D48" s="27" t="s">
        <v>73</v>
      </c>
      <c r="E48" s="35" t="s">
        <v>10</v>
      </c>
      <c r="F48" s="35" t="s">
        <v>132</v>
      </c>
      <c r="G48" s="21" t="s">
        <v>69</v>
      </c>
      <c r="H48" s="37" t="s">
        <v>70</v>
      </c>
    </row>
    <row r="49" spans="1:8" x14ac:dyDescent="0.25">
      <c r="A49" s="27"/>
      <c r="B49" s="38" t="s">
        <v>91</v>
      </c>
      <c r="C49" s="35" t="s">
        <v>130</v>
      </c>
      <c r="D49" s="27" t="s">
        <v>102</v>
      </c>
      <c r="E49" s="35" t="s">
        <v>10</v>
      </c>
      <c r="F49" s="35" t="s">
        <v>133</v>
      </c>
      <c r="G49" s="21" t="s">
        <v>66</v>
      </c>
      <c r="H49" s="37" t="s">
        <v>70</v>
      </c>
    </row>
    <row r="50" spans="1:8" x14ac:dyDescent="0.25">
      <c r="A50" s="27"/>
      <c r="B50" s="38" t="s">
        <v>91</v>
      </c>
      <c r="C50" s="35" t="s">
        <v>134</v>
      </c>
      <c r="D50" s="27" t="s">
        <v>64</v>
      </c>
      <c r="E50" s="35" t="s">
        <v>10</v>
      </c>
      <c r="F50" s="35" t="s">
        <v>135</v>
      </c>
      <c r="G50" s="21" t="s">
        <v>66</v>
      </c>
      <c r="H50" s="22" t="s">
        <v>67</v>
      </c>
    </row>
    <row r="51" spans="1:8" x14ac:dyDescent="0.25">
      <c r="A51" s="27"/>
      <c r="B51" s="38" t="s">
        <v>91</v>
      </c>
      <c r="C51" s="35" t="s">
        <v>134</v>
      </c>
      <c r="D51" s="27" t="s">
        <v>73</v>
      </c>
      <c r="E51" s="35" t="s">
        <v>10</v>
      </c>
      <c r="F51" s="35" t="s">
        <v>136</v>
      </c>
      <c r="G51" s="21" t="s">
        <v>66</v>
      </c>
      <c r="H51" s="37" t="s">
        <v>70</v>
      </c>
    </row>
    <row r="52" spans="1:8" x14ac:dyDescent="0.25">
      <c r="A52" s="27"/>
      <c r="B52" s="39" t="s">
        <v>91</v>
      </c>
      <c r="C52" s="35" t="s">
        <v>134</v>
      </c>
      <c r="D52" s="27" t="s">
        <v>102</v>
      </c>
      <c r="E52" s="35" t="s">
        <v>10</v>
      </c>
      <c r="F52" s="35" t="s">
        <v>137</v>
      </c>
      <c r="G52" s="24" t="s">
        <v>66</v>
      </c>
      <c r="H52" s="37" t="s">
        <v>67</v>
      </c>
    </row>
    <row r="53" spans="1:8" x14ac:dyDescent="0.25">
      <c r="A53" s="27"/>
      <c r="B53" s="39" t="s">
        <v>91</v>
      </c>
      <c r="C53" s="35" t="s">
        <v>134</v>
      </c>
      <c r="D53" s="27" t="s">
        <v>104</v>
      </c>
      <c r="E53" s="35" t="s">
        <v>10</v>
      </c>
      <c r="F53" s="35" t="s">
        <v>138</v>
      </c>
      <c r="G53" s="24" t="s">
        <v>69</v>
      </c>
      <c r="H53" s="37" t="s">
        <v>70</v>
      </c>
    </row>
    <row r="54" spans="1:8" x14ac:dyDescent="0.25">
      <c r="A54" s="27"/>
      <c r="B54" s="39" t="s">
        <v>91</v>
      </c>
      <c r="C54" s="35" t="s">
        <v>139</v>
      </c>
      <c r="D54" s="27" t="s">
        <v>64</v>
      </c>
      <c r="E54" s="35" t="s">
        <v>10</v>
      </c>
      <c r="F54" s="35" t="s">
        <v>140</v>
      </c>
      <c r="G54" s="24" t="s">
        <v>66</v>
      </c>
      <c r="H54" s="37" t="s">
        <v>70</v>
      </c>
    </row>
    <row r="55" spans="1:8" x14ac:dyDescent="0.25">
      <c r="A55" s="27"/>
      <c r="B55" s="39" t="s">
        <v>91</v>
      </c>
      <c r="C55" s="35" t="s">
        <v>139</v>
      </c>
      <c r="D55" s="27" t="s">
        <v>73</v>
      </c>
      <c r="E55" s="35" t="s">
        <v>10</v>
      </c>
      <c r="F55" s="35" t="s">
        <v>141</v>
      </c>
      <c r="G55" s="21" t="s">
        <v>66</v>
      </c>
      <c r="H55" s="37" t="s">
        <v>67</v>
      </c>
    </row>
    <row r="56" spans="1:8" x14ac:dyDescent="0.25">
      <c r="A56" s="27"/>
      <c r="B56" s="39" t="s">
        <v>91</v>
      </c>
      <c r="C56" s="35" t="s">
        <v>139</v>
      </c>
      <c r="D56" s="27" t="s">
        <v>102</v>
      </c>
      <c r="E56" s="35" t="s">
        <v>10</v>
      </c>
      <c r="F56" s="35" t="s">
        <v>142</v>
      </c>
      <c r="G56" s="24" t="s">
        <v>69</v>
      </c>
      <c r="H56" s="37" t="s">
        <v>67</v>
      </c>
    </row>
    <row r="57" spans="1:8" x14ac:dyDescent="0.25">
      <c r="A57" s="27"/>
      <c r="B57" s="39" t="s">
        <v>91</v>
      </c>
      <c r="C57" s="35" t="s">
        <v>139</v>
      </c>
      <c r="D57" s="27" t="s">
        <v>104</v>
      </c>
      <c r="E57" s="35" t="s">
        <v>10</v>
      </c>
      <c r="F57" s="35" t="s">
        <v>143</v>
      </c>
      <c r="G57" s="24" t="s">
        <v>69</v>
      </c>
      <c r="H57" s="37" t="s">
        <v>72</v>
      </c>
    </row>
    <row r="58" spans="1:8" x14ac:dyDescent="0.25">
      <c r="A58" s="27"/>
      <c r="B58" s="39" t="s">
        <v>91</v>
      </c>
      <c r="C58" s="35" t="s">
        <v>144</v>
      </c>
      <c r="D58" s="27" t="s">
        <v>78</v>
      </c>
      <c r="E58" s="35" t="s">
        <v>10</v>
      </c>
      <c r="F58" s="35" t="s">
        <v>145</v>
      </c>
      <c r="G58" s="24" t="s">
        <v>66</v>
      </c>
      <c r="H58" s="22" t="s">
        <v>70</v>
      </c>
    </row>
    <row r="59" spans="1:8" x14ac:dyDescent="0.25">
      <c r="A59" s="27"/>
      <c r="B59" s="39" t="s">
        <v>146</v>
      </c>
      <c r="C59" s="35" t="s">
        <v>147</v>
      </c>
      <c r="D59" s="27" t="s">
        <v>78</v>
      </c>
      <c r="E59" s="35" t="s">
        <v>10</v>
      </c>
      <c r="F59" s="35" t="s">
        <v>148</v>
      </c>
      <c r="G59" s="21" t="s">
        <v>66</v>
      </c>
      <c r="H59" s="22" t="s">
        <v>72</v>
      </c>
    </row>
    <row r="60" spans="1:8" x14ac:dyDescent="0.25">
      <c r="A60" s="27"/>
      <c r="B60" s="39" t="s">
        <v>146</v>
      </c>
      <c r="C60" s="35" t="s">
        <v>149</v>
      </c>
      <c r="D60" s="27" t="s">
        <v>106</v>
      </c>
      <c r="E60" s="35" t="s">
        <v>10</v>
      </c>
      <c r="F60" s="35" t="s">
        <v>150</v>
      </c>
      <c r="G60" s="21" t="s">
        <v>69</v>
      </c>
      <c r="H60" s="37" t="s">
        <v>67</v>
      </c>
    </row>
    <row r="61" spans="1:8" x14ac:dyDescent="0.25">
      <c r="A61" s="27"/>
      <c r="B61" s="39" t="s">
        <v>146</v>
      </c>
      <c r="C61" s="35" t="s">
        <v>149</v>
      </c>
      <c r="D61" s="27" t="s">
        <v>121</v>
      </c>
      <c r="E61" s="35" t="s">
        <v>10</v>
      </c>
      <c r="F61" s="35" t="s">
        <v>151</v>
      </c>
      <c r="G61" s="24" t="s">
        <v>69</v>
      </c>
      <c r="H61" s="37" t="s">
        <v>70</v>
      </c>
    </row>
    <row r="62" spans="1:8" x14ac:dyDescent="0.25">
      <c r="A62" s="27"/>
      <c r="B62" s="39" t="s">
        <v>146</v>
      </c>
      <c r="C62" s="35" t="s">
        <v>152</v>
      </c>
      <c r="D62" s="27" t="s">
        <v>102</v>
      </c>
      <c r="E62" s="35" t="s">
        <v>10</v>
      </c>
      <c r="F62" s="35" t="s">
        <v>153</v>
      </c>
      <c r="G62" s="24" t="s">
        <v>69</v>
      </c>
      <c r="H62" s="37" t="s">
        <v>70</v>
      </c>
    </row>
    <row r="63" spans="1:8" x14ac:dyDescent="0.25">
      <c r="A63" s="72"/>
      <c r="B63" s="73" t="s">
        <v>146</v>
      </c>
      <c r="C63" s="74" t="s">
        <v>152</v>
      </c>
      <c r="D63" s="72" t="s">
        <v>104</v>
      </c>
      <c r="E63" s="74" t="s">
        <v>10</v>
      </c>
      <c r="F63" s="74" t="s">
        <v>154</v>
      </c>
      <c r="G63" s="75" t="s">
        <v>66</v>
      </c>
      <c r="H63" s="76" t="s">
        <v>67</v>
      </c>
    </row>
    <row r="64" spans="1:8" x14ac:dyDescent="0.25">
      <c r="A64" s="72"/>
      <c r="B64" s="73" t="s">
        <v>146</v>
      </c>
      <c r="C64" s="74" t="s">
        <v>155</v>
      </c>
      <c r="D64" s="72" t="s">
        <v>64</v>
      </c>
      <c r="E64" s="74" t="s">
        <v>10</v>
      </c>
      <c r="F64" s="74" t="s">
        <v>156</v>
      </c>
      <c r="G64" s="75" t="s">
        <v>66</v>
      </c>
      <c r="H64" s="76" t="s">
        <v>70</v>
      </c>
    </row>
    <row r="65" spans="1:8" x14ac:dyDescent="0.25">
      <c r="A65" s="72"/>
      <c r="B65" s="73" t="s">
        <v>146</v>
      </c>
      <c r="C65" s="74" t="s">
        <v>155</v>
      </c>
      <c r="D65" s="72" t="s">
        <v>73</v>
      </c>
      <c r="E65" s="74" t="s">
        <v>10</v>
      </c>
      <c r="F65" s="74" t="s">
        <v>157</v>
      </c>
      <c r="G65" s="75" t="s">
        <v>69</v>
      </c>
      <c r="H65" s="76" t="s">
        <v>70</v>
      </c>
    </row>
    <row r="66" spans="1:8" x14ac:dyDescent="0.25">
      <c r="A66" s="72"/>
      <c r="B66" s="73" t="s">
        <v>146</v>
      </c>
      <c r="C66" s="74" t="s">
        <v>155</v>
      </c>
      <c r="D66" s="72" t="s">
        <v>102</v>
      </c>
      <c r="E66" s="74" t="s">
        <v>10</v>
      </c>
      <c r="F66" s="74" t="s">
        <v>158</v>
      </c>
      <c r="G66" s="75" t="s">
        <v>66</v>
      </c>
      <c r="H66" s="76" t="s">
        <v>70</v>
      </c>
    </row>
    <row r="67" spans="1:8" x14ac:dyDescent="0.25">
      <c r="A67" s="72"/>
      <c r="B67" s="73" t="s">
        <v>146</v>
      </c>
      <c r="C67" s="74" t="s">
        <v>159</v>
      </c>
      <c r="D67" s="72" t="s">
        <v>64</v>
      </c>
      <c r="E67" s="74" t="s">
        <v>10</v>
      </c>
      <c r="F67" s="74" t="s">
        <v>160</v>
      </c>
      <c r="G67" s="75" t="s">
        <v>66</v>
      </c>
      <c r="H67" s="76" t="s">
        <v>70</v>
      </c>
    </row>
    <row r="68" spans="1:8" x14ac:dyDescent="0.25">
      <c r="A68" s="72"/>
      <c r="B68" s="73" t="s">
        <v>146</v>
      </c>
      <c r="C68" s="74" t="s">
        <v>159</v>
      </c>
      <c r="D68" s="72" t="s">
        <v>73</v>
      </c>
      <c r="E68" s="74" t="s">
        <v>10</v>
      </c>
      <c r="F68" s="74" t="s">
        <v>161</v>
      </c>
      <c r="G68" s="75" t="s">
        <v>66</v>
      </c>
      <c r="H68" s="76" t="s">
        <v>67</v>
      </c>
    </row>
    <row r="69" spans="1:8" x14ac:dyDescent="0.25">
      <c r="A69" s="72"/>
      <c r="B69" s="73" t="s">
        <v>146</v>
      </c>
      <c r="C69" s="74" t="s">
        <v>159</v>
      </c>
      <c r="D69" s="72" t="s">
        <v>117</v>
      </c>
      <c r="E69" s="74" t="s">
        <v>10</v>
      </c>
      <c r="F69" s="74" t="s">
        <v>162</v>
      </c>
      <c r="G69" s="75" t="s">
        <v>66</v>
      </c>
      <c r="H69" s="76" t="s">
        <v>70</v>
      </c>
    </row>
    <row r="70" spans="1:8" x14ac:dyDescent="0.25">
      <c r="A70" s="72"/>
      <c r="B70" s="73" t="s">
        <v>4</v>
      </c>
      <c r="C70" s="74" t="s">
        <v>163</v>
      </c>
      <c r="D70" s="72" t="s">
        <v>78</v>
      </c>
      <c r="E70" s="74" t="s">
        <v>164</v>
      </c>
      <c r="F70" s="74" t="s">
        <v>165</v>
      </c>
      <c r="G70" s="75" t="s">
        <v>69</v>
      </c>
      <c r="H70" s="76" t="s">
        <v>70</v>
      </c>
    </row>
    <row r="71" spans="1:8" x14ac:dyDescent="0.25">
      <c r="A71" s="72"/>
      <c r="B71" s="73" t="s">
        <v>4</v>
      </c>
      <c r="C71" s="74" t="s">
        <v>163</v>
      </c>
      <c r="D71" s="72" t="s">
        <v>64</v>
      </c>
      <c r="E71" s="74" t="s">
        <v>10</v>
      </c>
      <c r="F71" s="74" t="s">
        <v>166</v>
      </c>
      <c r="G71" s="75" t="s">
        <v>69</v>
      </c>
      <c r="H71" s="76" t="s">
        <v>70</v>
      </c>
    </row>
    <row r="72" spans="1:8" x14ac:dyDescent="0.25">
      <c r="A72" s="72"/>
      <c r="B72" s="73" t="s">
        <v>4</v>
      </c>
      <c r="C72" s="74" t="s">
        <v>163</v>
      </c>
      <c r="D72" s="72" t="s">
        <v>64</v>
      </c>
      <c r="E72" s="74" t="s">
        <v>167</v>
      </c>
      <c r="F72" s="74" t="s">
        <v>168</v>
      </c>
      <c r="G72" s="75" t="s">
        <v>69</v>
      </c>
      <c r="H72" s="76" t="s">
        <v>70</v>
      </c>
    </row>
    <row r="73" spans="1:8" x14ac:dyDescent="0.25">
      <c r="A73" s="72"/>
      <c r="B73" s="73" t="s">
        <v>4</v>
      </c>
      <c r="C73" s="74" t="s">
        <v>163</v>
      </c>
      <c r="D73" s="72" t="s">
        <v>73</v>
      </c>
      <c r="E73" s="74" t="s">
        <v>10</v>
      </c>
      <c r="F73" s="74" t="s">
        <v>169</v>
      </c>
      <c r="G73" s="75" t="s">
        <v>66</v>
      </c>
      <c r="H73" s="76" t="s">
        <v>70</v>
      </c>
    </row>
    <row r="74" spans="1:8" x14ac:dyDescent="0.25">
      <c r="A74" s="72"/>
      <c r="B74" s="73" t="s">
        <v>4</v>
      </c>
      <c r="C74" s="74" t="s">
        <v>163</v>
      </c>
      <c r="D74" s="72" t="s">
        <v>73</v>
      </c>
      <c r="E74" s="74" t="s">
        <v>167</v>
      </c>
      <c r="F74" s="74" t="s">
        <v>170</v>
      </c>
      <c r="G74" s="75" t="s">
        <v>69</v>
      </c>
      <c r="H74" s="76" t="s">
        <v>70</v>
      </c>
    </row>
    <row r="75" spans="1:8" x14ac:dyDescent="0.25">
      <c r="A75" s="72"/>
      <c r="B75" s="73" t="s">
        <v>4</v>
      </c>
      <c r="C75" s="74" t="s">
        <v>163</v>
      </c>
      <c r="D75" s="72" t="s">
        <v>102</v>
      </c>
      <c r="E75" s="74" t="s">
        <v>10</v>
      </c>
      <c r="F75" s="74" t="s">
        <v>171</v>
      </c>
      <c r="G75" s="75" t="s">
        <v>69</v>
      </c>
      <c r="H75" s="76" t="s">
        <v>70</v>
      </c>
    </row>
    <row r="76" spans="1:8" x14ac:dyDescent="0.25">
      <c r="A76" s="72"/>
      <c r="B76" s="73" t="s">
        <v>4</v>
      </c>
      <c r="C76" s="74" t="s">
        <v>163</v>
      </c>
      <c r="D76" s="72" t="s">
        <v>102</v>
      </c>
      <c r="E76" s="74" t="s">
        <v>172</v>
      </c>
      <c r="F76" s="74" t="s">
        <v>173</v>
      </c>
      <c r="G76" s="75" t="s">
        <v>69</v>
      </c>
      <c r="H76" s="76" t="s">
        <v>67</v>
      </c>
    </row>
    <row r="77" spans="1:8" x14ac:dyDescent="0.25">
      <c r="A77" s="72"/>
      <c r="B77" s="73" t="s">
        <v>4</v>
      </c>
      <c r="C77" s="74" t="s">
        <v>25</v>
      </c>
      <c r="D77" s="72" t="s">
        <v>64</v>
      </c>
      <c r="E77" s="74" t="s">
        <v>172</v>
      </c>
      <c r="F77" s="74" t="s">
        <v>174</v>
      </c>
      <c r="G77" s="75" t="s">
        <v>66</v>
      </c>
      <c r="H77" s="76" t="s">
        <v>67</v>
      </c>
    </row>
    <row r="78" spans="1:8" x14ac:dyDescent="0.25">
      <c r="A78" s="72"/>
      <c r="B78" s="73" t="s">
        <v>4</v>
      </c>
      <c r="C78" s="74" t="s">
        <v>25</v>
      </c>
      <c r="D78" s="72" t="s">
        <v>73</v>
      </c>
      <c r="E78" s="74" t="s">
        <v>172</v>
      </c>
      <c r="F78" s="74" t="s">
        <v>175</v>
      </c>
      <c r="G78" s="75" t="s">
        <v>66</v>
      </c>
      <c r="H78" s="76" t="s">
        <v>70</v>
      </c>
    </row>
    <row r="79" spans="1:8" x14ac:dyDescent="0.25">
      <c r="A79" s="72"/>
      <c r="B79" s="73" t="s">
        <v>4</v>
      </c>
      <c r="C79" s="74" t="s">
        <v>26</v>
      </c>
      <c r="D79" s="72" t="s">
        <v>78</v>
      </c>
      <c r="E79" s="74" t="s">
        <v>10</v>
      </c>
      <c r="F79" s="74" t="s">
        <v>176</v>
      </c>
      <c r="G79" s="75" t="s">
        <v>69</v>
      </c>
      <c r="H79" s="76" t="s">
        <v>70</v>
      </c>
    </row>
    <row r="80" spans="1:8" x14ac:dyDescent="0.25">
      <c r="A80" s="72"/>
      <c r="B80" s="73" t="s">
        <v>4</v>
      </c>
      <c r="C80" s="74" t="s">
        <v>27</v>
      </c>
      <c r="D80" s="72" t="s">
        <v>104</v>
      </c>
      <c r="E80" s="74" t="s">
        <v>172</v>
      </c>
      <c r="F80" s="74" t="s">
        <v>177</v>
      </c>
      <c r="G80" s="75" t="s">
        <v>69</v>
      </c>
      <c r="H80" s="76" t="s">
        <v>70</v>
      </c>
    </row>
    <row r="81" spans="1:8" ht="18" customHeight="1" x14ac:dyDescent="0.25">
      <c r="A81" s="93" t="s">
        <v>178</v>
      </c>
      <c r="B81" s="88"/>
      <c r="C81" s="88"/>
      <c r="D81" s="88"/>
      <c r="E81" s="88"/>
      <c r="F81" s="88"/>
      <c r="G81" s="88"/>
      <c r="H81" s="88"/>
    </row>
    <row r="82" spans="1:8" x14ac:dyDescent="0.25">
      <c r="A82" s="27"/>
      <c r="B82" s="34" t="s">
        <v>5</v>
      </c>
      <c r="C82" s="35" t="s">
        <v>179</v>
      </c>
      <c r="D82" s="27" t="s">
        <v>78</v>
      </c>
      <c r="E82" s="35" t="s">
        <v>11</v>
      </c>
      <c r="F82" s="35" t="s">
        <v>180</v>
      </c>
      <c r="G82" s="21" t="s">
        <v>66</v>
      </c>
      <c r="H82" s="22" t="s">
        <v>67</v>
      </c>
    </row>
    <row r="83" spans="1:8" x14ac:dyDescent="0.25">
      <c r="A83" s="27"/>
      <c r="B83" s="36" t="s">
        <v>5</v>
      </c>
      <c r="C83" s="35" t="s">
        <v>179</v>
      </c>
      <c r="D83" s="27" t="s">
        <v>78</v>
      </c>
      <c r="E83" s="35" t="s">
        <v>11</v>
      </c>
      <c r="F83" s="35" t="s">
        <v>181</v>
      </c>
      <c r="G83" s="21" t="s">
        <v>66</v>
      </c>
      <c r="H83" s="22" t="s">
        <v>70</v>
      </c>
    </row>
    <row r="84" spans="1:8" x14ac:dyDescent="0.25">
      <c r="A84" s="27"/>
      <c r="B84" s="36" t="s">
        <v>5</v>
      </c>
      <c r="C84" s="35" t="s">
        <v>179</v>
      </c>
      <c r="D84" s="27" t="s">
        <v>78</v>
      </c>
      <c r="E84" s="35" t="s">
        <v>11</v>
      </c>
      <c r="F84" s="35" t="s">
        <v>182</v>
      </c>
      <c r="G84" s="21" t="s">
        <v>66</v>
      </c>
      <c r="H84" s="23" t="s">
        <v>72</v>
      </c>
    </row>
    <row r="85" spans="1:8" x14ac:dyDescent="0.25">
      <c r="A85" s="27"/>
      <c r="B85" s="36" t="s">
        <v>91</v>
      </c>
      <c r="C85" s="35" t="s">
        <v>24</v>
      </c>
      <c r="D85" s="27" t="s">
        <v>78</v>
      </c>
      <c r="E85" s="35" t="s">
        <v>11</v>
      </c>
      <c r="F85" s="35" t="s">
        <v>183</v>
      </c>
      <c r="G85" s="24" t="s">
        <v>66</v>
      </c>
      <c r="H85" s="22" t="s">
        <v>67</v>
      </c>
    </row>
    <row r="86" spans="1:8" x14ac:dyDescent="0.25">
      <c r="A86" s="27"/>
      <c r="B86" s="36" t="s">
        <v>91</v>
      </c>
      <c r="C86" s="35" t="s">
        <v>115</v>
      </c>
      <c r="D86" s="27" t="s">
        <v>78</v>
      </c>
      <c r="E86" s="35" t="s">
        <v>11</v>
      </c>
      <c r="F86" s="35" t="s">
        <v>184</v>
      </c>
      <c r="G86" s="21" t="s">
        <v>66</v>
      </c>
      <c r="H86" s="22" t="s">
        <v>72</v>
      </c>
    </row>
    <row r="87" spans="1:8" x14ac:dyDescent="0.25">
      <c r="A87" s="27"/>
      <c r="B87" s="36" t="s">
        <v>91</v>
      </c>
      <c r="C87" s="35" t="s">
        <v>134</v>
      </c>
      <c r="D87" s="27" t="s">
        <v>64</v>
      </c>
      <c r="E87" s="35" t="s">
        <v>11</v>
      </c>
      <c r="F87" s="35" t="s">
        <v>185</v>
      </c>
      <c r="G87" s="21" t="s">
        <v>69</v>
      </c>
      <c r="H87" s="22" t="s">
        <v>67</v>
      </c>
    </row>
    <row r="88" spans="1:8" x14ac:dyDescent="0.25">
      <c r="A88" s="27"/>
      <c r="B88" s="38" t="s">
        <v>91</v>
      </c>
      <c r="C88" s="35" t="s">
        <v>134</v>
      </c>
      <c r="D88" s="27" t="s">
        <v>73</v>
      </c>
      <c r="E88" s="35" t="s">
        <v>11</v>
      </c>
      <c r="F88" s="35" t="s">
        <v>186</v>
      </c>
      <c r="G88" s="21" t="s">
        <v>66</v>
      </c>
      <c r="H88" s="23" t="s">
        <v>67</v>
      </c>
    </row>
    <row r="89" spans="1:8" x14ac:dyDescent="0.25">
      <c r="A89" s="27"/>
      <c r="B89" s="38" t="s">
        <v>91</v>
      </c>
      <c r="C89" s="35" t="s">
        <v>134</v>
      </c>
      <c r="D89" s="27" t="s">
        <v>102</v>
      </c>
      <c r="E89" s="35" t="s">
        <v>11</v>
      </c>
      <c r="F89" s="35" t="s">
        <v>187</v>
      </c>
      <c r="G89" s="21" t="s">
        <v>66</v>
      </c>
      <c r="H89" s="22" t="s">
        <v>67</v>
      </c>
    </row>
    <row r="90" spans="1:8" x14ac:dyDescent="0.25">
      <c r="A90" s="27"/>
      <c r="B90" s="39" t="s">
        <v>146</v>
      </c>
      <c r="C90" s="35" t="s">
        <v>152</v>
      </c>
      <c r="D90" s="27" t="s">
        <v>73</v>
      </c>
      <c r="E90" s="35" t="s">
        <v>11</v>
      </c>
      <c r="F90" s="35" t="s">
        <v>188</v>
      </c>
      <c r="G90" s="24" t="s">
        <v>66</v>
      </c>
      <c r="H90" s="37" t="s">
        <v>72</v>
      </c>
    </row>
    <row r="91" spans="1:8" x14ac:dyDescent="0.25">
      <c r="A91" s="72"/>
      <c r="B91" s="73" t="s">
        <v>146</v>
      </c>
      <c r="C91" s="74" t="s">
        <v>159</v>
      </c>
      <c r="D91" s="72" t="s">
        <v>64</v>
      </c>
      <c r="E91" s="74" t="s">
        <v>11</v>
      </c>
      <c r="F91" s="74" t="s">
        <v>189</v>
      </c>
      <c r="G91" s="75" t="s">
        <v>66</v>
      </c>
      <c r="H91" s="76" t="s">
        <v>67</v>
      </c>
    </row>
    <row r="92" spans="1:8" x14ac:dyDescent="0.25">
      <c r="A92" s="27"/>
      <c r="B92" s="39" t="s">
        <v>4</v>
      </c>
      <c r="C92" s="35" t="s">
        <v>163</v>
      </c>
      <c r="D92" s="27" t="s">
        <v>78</v>
      </c>
      <c r="E92" s="35" t="s">
        <v>190</v>
      </c>
      <c r="F92" s="35" t="s">
        <v>191</v>
      </c>
      <c r="G92" s="21" t="s">
        <v>66</v>
      </c>
      <c r="H92" s="37" t="s">
        <v>70</v>
      </c>
    </row>
    <row r="93" spans="1:8" x14ac:dyDescent="0.25">
      <c r="A93" s="72"/>
      <c r="B93" s="73" t="s">
        <v>4</v>
      </c>
      <c r="C93" s="74" t="s">
        <v>163</v>
      </c>
      <c r="D93" s="72" t="s">
        <v>64</v>
      </c>
      <c r="E93" s="74" t="s">
        <v>11</v>
      </c>
      <c r="F93" s="74" t="s">
        <v>192</v>
      </c>
      <c r="G93" s="75" t="s">
        <v>69</v>
      </c>
      <c r="H93" s="76" t="s">
        <v>70</v>
      </c>
    </row>
    <row r="94" spans="1:8" ht="18" customHeight="1" x14ac:dyDescent="0.25">
      <c r="A94" s="90" t="s">
        <v>193</v>
      </c>
      <c r="B94" s="88"/>
      <c r="C94" s="88"/>
      <c r="D94" s="88"/>
      <c r="E94" s="88"/>
      <c r="F94" s="88"/>
      <c r="G94" s="88"/>
      <c r="H94" s="88"/>
    </row>
    <row r="95" spans="1:8" x14ac:dyDescent="0.25">
      <c r="A95" s="27"/>
      <c r="B95" s="36" t="s">
        <v>91</v>
      </c>
      <c r="C95" s="35" t="s">
        <v>24</v>
      </c>
      <c r="D95" s="27" t="s">
        <v>78</v>
      </c>
      <c r="E95" s="35" t="s">
        <v>12</v>
      </c>
      <c r="F95" s="35" t="s">
        <v>194</v>
      </c>
      <c r="G95" s="21" t="s">
        <v>66</v>
      </c>
      <c r="H95" s="22" t="s">
        <v>67</v>
      </c>
    </row>
    <row r="96" spans="1:8" x14ac:dyDescent="0.25">
      <c r="A96" s="27"/>
      <c r="B96" s="36" t="s">
        <v>91</v>
      </c>
      <c r="C96" s="35" t="s">
        <v>25</v>
      </c>
      <c r="D96" s="27" t="s">
        <v>78</v>
      </c>
      <c r="E96" s="35" t="s">
        <v>12</v>
      </c>
      <c r="F96" s="35" t="s">
        <v>195</v>
      </c>
      <c r="G96" s="24" t="s">
        <v>69</v>
      </c>
      <c r="H96" s="23" t="s">
        <v>72</v>
      </c>
    </row>
    <row r="97" spans="1:8" x14ac:dyDescent="0.25">
      <c r="A97" s="27"/>
      <c r="B97" s="36" t="s">
        <v>91</v>
      </c>
      <c r="C97" s="35" t="s">
        <v>134</v>
      </c>
      <c r="D97" s="27" t="s">
        <v>64</v>
      </c>
      <c r="E97" s="35" t="s">
        <v>12</v>
      </c>
      <c r="F97" s="35" t="s">
        <v>196</v>
      </c>
      <c r="G97" s="21" t="s">
        <v>66</v>
      </c>
      <c r="H97" s="22" t="s">
        <v>67</v>
      </c>
    </row>
    <row r="98" spans="1:8" x14ac:dyDescent="0.25">
      <c r="A98" s="27"/>
      <c r="B98" s="36" t="s">
        <v>91</v>
      </c>
      <c r="C98" s="35" t="s">
        <v>134</v>
      </c>
      <c r="D98" s="27" t="s">
        <v>73</v>
      </c>
      <c r="E98" s="35" t="s">
        <v>12</v>
      </c>
      <c r="F98" s="35" t="s">
        <v>197</v>
      </c>
      <c r="G98" s="21" t="s">
        <v>66</v>
      </c>
      <c r="H98" s="22" t="s">
        <v>67</v>
      </c>
    </row>
    <row r="99" spans="1:8" x14ac:dyDescent="0.25">
      <c r="A99" s="27"/>
      <c r="B99" s="38" t="s">
        <v>146</v>
      </c>
      <c r="C99" s="35" t="s">
        <v>159</v>
      </c>
      <c r="D99" s="27" t="s">
        <v>64</v>
      </c>
      <c r="E99" s="35" t="s">
        <v>12</v>
      </c>
      <c r="F99" s="35" t="s">
        <v>198</v>
      </c>
      <c r="G99" s="24" t="s">
        <v>69</v>
      </c>
      <c r="H99" s="22" t="s">
        <v>67</v>
      </c>
    </row>
    <row r="100" spans="1:8" x14ac:dyDescent="0.25">
      <c r="A100" s="27"/>
      <c r="B100" s="38" t="s">
        <v>146</v>
      </c>
      <c r="C100" s="35" t="s">
        <v>159</v>
      </c>
      <c r="D100" s="27" t="s">
        <v>73</v>
      </c>
      <c r="E100" s="35" t="s">
        <v>12</v>
      </c>
      <c r="F100" s="35" t="s">
        <v>199</v>
      </c>
      <c r="G100" s="21" t="s">
        <v>66</v>
      </c>
      <c r="H100" s="22" t="s">
        <v>67</v>
      </c>
    </row>
    <row r="101" spans="1:8" x14ac:dyDescent="0.25">
      <c r="A101" s="27"/>
      <c r="B101" s="39" t="s">
        <v>4</v>
      </c>
      <c r="C101" s="35" t="s">
        <v>163</v>
      </c>
      <c r="D101" s="27" t="s">
        <v>78</v>
      </c>
      <c r="E101" s="35" t="s">
        <v>12</v>
      </c>
      <c r="F101" s="35" t="s">
        <v>200</v>
      </c>
      <c r="G101" s="21" t="s">
        <v>66</v>
      </c>
      <c r="H101" s="37" t="s">
        <v>70</v>
      </c>
    </row>
    <row r="102" spans="1:8" ht="18" customHeight="1" x14ac:dyDescent="0.25">
      <c r="A102" s="89" t="s">
        <v>201</v>
      </c>
      <c r="B102" s="88"/>
      <c r="C102" s="88"/>
      <c r="D102" s="88"/>
      <c r="E102" s="88"/>
      <c r="F102" s="88"/>
      <c r="G102" s="88"/>
      <c r="H102" s="88"/>
    </row>
    <row r="103" spans="1:8" x14ac:dyDescent="0.25">
      <c r="A103" s="27"/>
      <c r="B103" s="36" t="s">
        <v>91</v>
      </c>
      <c r="C103" s="35" t="s">
        <v>24</v>
      </c>
      <c r="D103" s="27" t="s">
        <v>78</v>
      </c>
      <c r="E103" s="35" t="s">
        <v>14</v>
      </c>
      <c r="F103" s="35" t="s">
        <v>202</v>
      </c>
      <c r="G103" s="21" t="s">
        <v>66</v>
      </c>
      <c r="H103" s="22" t="s">
        <v>67</v>
      </c>
    </row>
    <row r="104" spans="1:8" x14ac:dyDescent="0.25">
      <c r="A104" s="27"/>
      <c r="B104" s="36" t="s">
        <v>91</v>
      </c>
      <c r="C104" s="35" t="s">
        <v>203</v>
      </c>
      <c r="D104" s="27" t="s">
        <v>78</v>
      </c>
      <c r="E104" s="35" t="s">
        <v>14</v>
      </c>
      <c r="F104" s="35" t="s">
        <v>204</v>
      </c>
      <c r="G104" s="21" t="s">
        <v>66</v>
      </c>
      <c r="H104" s="37" t="s">
        <v>70</v>
      </c>
    </row>
    <row r="105" spans="1:8" x14ac:dyDescent="0.25">
      <c r="A105" s="27"/>
      <c r="B105" s="36" t="s">
        <v>91</v>
      </c>
      <c r="C105" s="35" t="s">
        <v>134</v>
      </c>
      <c r="D105" s="27" t="s">
        <v>78</v>
      </c>
      <c r="E105" s="35" t="s">
        <v>14</v>
      </c>
      <c r="F105" s="35" t="s">
        <v>205</v>
      </c>
      <c r="G105" s="21" t="s">
        <v>66</v>
      </c>
      <c r="H105" s="22" t="s">
        <v>67</v>
      </c>
    </row>
    <row r="106" spans="1:8" x14ac:dyDescent="0.25">
      <c r="A106" s="27"/>
      <c r="B106" s="38" t="s">
        <v>146</v>
      </c>
      <c r="C106" s="35" t="s">
        <v>159</v>
      </c>
      <c r="D106" s="27" t="s">
        <v>78</v>
      </c>
      <c r="E106" s="35" t="s">
        <v>14</v>
      </c>
      <c r="F106" s="35" t="s">
        <v>206</v>
      </c>
      <c r="G106" s="21" t="s">
        <v>66</v>
      </c>
      <c r="H106" s="22" t="s">
        <v>67</v>
      </c>
    </row>
    <row r="107" spans="1:8" x14ac:dyDescent="0.25">
      <c r="A107" s="27"/>
      <c r="B107" s="39" t="s">
        <v>4</v>
      </c>
      <c r="C107" s="35" t="s">
        <v>163</v>
      </c>
      <c r="D107" s="27" t="s">
        <v>78</v>
      </c>
      <c r="E107" s="35" t="s">
        <v>14</v>
      </c>
      <c r="F107" s="35" t="s">
        <v>207</v>
      </c>
      <c r="G107" s="21" t="s">
        <v>66</v>
      </c>
      <c r="H107" s="37" t="s">
        <v>70</v>
      </c>
    </row>
    <row r="108" spans="1:8" ht="18" customHeight="1" x14ac:dyDescent="0.25">
      <c r="A108" s="95" t="s">
        <v>208</v>
      </c>
      <c r="B108" s="88"/>
      <c r="C108" s="88"/>
      <c r="D108" s="88"/>
      <c r="E108" s="88"/>
      <c r="F108" s="88"/>
      <c r="G108" s="88"/>
      <c r="H108" s="88"/>
    </row>
    <row r="109" spans="1:8" x14ac:dyDescent="0.25">
      <c r="A109" s="27"/>
      <c r="B109" s="36" t="s">
        <v>91</v>
      </c>
      <c r="C109" s="35" t="s">
        <v>24</v>
      </c>
      <c r="D109" s="27" t="s">
        <v>78</v>
      </c>
      <c r="E109" s="35" t="s">
        <v>15</v>
      </c>
      <c r="F109" s="35" t="s">
        <v>209</v>
      </c>
      <c r="G109" s="24" t="s">
        <v>69</v>
      </c>
      <c r="H109" s="37" t="s">
        <v>70</v>
      </c>
    </row>
    <row r="110" spans="1:8" x14ac:dyDescent="0.25">
      <c r="A110" s="27"/>
      <c r="B110" s="36" t="s">
        <v>91</v>
      </c>
      <c r="C110" s="35" t="s">
        <v>134</v>
      </c>
      <c r="D110" s="27" t="s">
        <v>78</v>
      </c>
      <c r="E110" s="35" t="s">
        <v>15</v>
      </c>
      <c r="F110" s="35" t="s">
        <v>210</v>
      </c>
      <c r="G110" s="21" t="s">
        <v>66</v>
      </c>
      <c r="H110" s="23" t="s">
        <v>72</v>
      </c>
    </row>
    <row r="111" spans="1:8" x14ac:dyDescent="0.25">
      <c r="A111" s="27"/>
      <c r="B111" s="38" t="s">
        <v>146</v>
      </c>
      <c r="C111" s="35" t="s">
        <v>159</v>
      </c>
      <c r="D111" s="27" t="s">
        <v>78</v>
      </c>
      <c r="E111" s="35" t="s">
        <v>15</v>
      </c>
      <c r="F111" s="35" t="s">
        <v>211</v>
      </c>
      <c r="G111" s="21" t="s">
        <v>66</v>
      </c>
      <c r="H111" s="22" t="s">
        <v>67</v>
      </c>
    </row>
    <row r="112" spans="1:8" x14ac:dyDescent="0.25">
      <c r="A112" s="27"/>
      <c r="B112" s="39" t="s">
        <v>4</v>
      </c>
      <c r="C112" s="35" t="s">
        <v>24</v>
      </c>
      <c r="D112" s="27" t="s">
        <v>78</v>
      </c>
      <c r="E112" s="35" t="s">
        <v>15</v>
      </c>
      <c r="F112" s="35" t="s">
        <v>212</v>
      </c>
      <c r="G112" s="21" t="s">
        <v>66</v>
      </c>
      <c r="H112" s="37" t="s">
        <v>70</v>
      </c>
    </row>
    <row r="113" spans="1:8" ht="18" customHeight="1" x14ac:dyDescent="0.25">
      <c r="A113" s="94" t="s">
        <v>213</v>
      </c>
      <c r="B113" s="88"/>
      <c r="C113" s="88"/>
      <c r="D113" s="88"/>
      <c r="E113" s="88"/>
      <c r="F113" s="88"/>
      <c r="G113" s="88"/>
      <c r="H113" s="88"/>
    </row>
    <row r="114" spans="1:8" x14ac:dyDescent="0.25">
      <c r="A114" s="27"/>
      <c r="B114" s="36" t="s">
        <v>91</v>
      </c>
      <c r="C114" s="35" t="s">
        <v>24</v>
      </c>
      <c r="D114" s="27" t="s">
        <v>78</v>
      </c>
      <c r="E114" s="35" t="s">
        <v>214</v>
      </c>
      <c r="F114" s="35" t="s">
        <v>215</v>
      </c>
      <c r="G114" s="21" t="s">
        <v>66</v>
      </c>
      <c r="H114" s="22" t="s">
        <v>67</v>
      </c>
    </row>
    <row r="115" spans="1:8" x14ac:dyDescent="0.25">
      <c r="A115" s="27"/>
      <c r="B115" s="36" t="s">
        <v>91</v>
      </c>
      <c r="C115" s="35" t="s">
        <v>134</v>
      </c>
      <c r="D115" s="27" t="s">
        <v>78</v>
      </c>
      <c r="E115" s="35" t="s">
        <v>214</v>
      </c>
      <c r="F115" s="35" t="s">
        <v>216</v>
      </c>
      <c r="G115" s="24" t="s">
        <v>69</v>
      </c>
      <c r="H115" s="22" t="s">
        <v>67</v>
      </c>
    </row>
    <row r="116" spans="1:8" x14ac:dyDescent="0.25">
      <c r="A116" s="27"/>
      <c r="B116" s="38" t="s">
        <v>146</v>
      </c>
      <c r="C116" s="35" t="s">
        <v>159</v>
      </c>
      <c r="D116" s="27" t="s">
        <v>78</v>
      </c>
      <c r="E116" s="35" t="s">
        <v>214</v>
      </c>
      <c r="F116" s="35" t="s">
        <v>217</v>
      </c>
      <c r="G116" s="24" t="s">
        <v>69</v>
      </c>
      <c r="H116" s="22" t="s">
        <v>67</v>
      </c>
    </row>
    <row r="117" spans="1:8" x14ac:dyDescent="0.25">
      <c r="A117" s="27"/>
      <c r="B117" s="39" t="s">
        <v>4</v>
      </c>
      <c r="C117" s="35" t="s">
        <v>24</v>
      </c>
      <c r="D117" s="27" t="s">
        <v>78</v>
      </c>
      <c r="E117" s="35" t="s">
        <v>214</v>
      </c>
      <c r="F117" s="35" t="s">
        <v>218</v>
      </c>
      <c r="G117" s="24" t="s">
        <v>69</v>
      </c>
      <c r="H117" s="37" t="s">
        <v>70</v>
      </c>
    </row>
    <row r="118" spans="1:8" ht="18" customHeight="1" x14ac:dyDescent="0.25">
      <c r="A118" s="87" t="s">
        <v>219</v>
      </c>
      <c r="B118" s="88"/>
      <c r="C118" s="88"/>
      <c r="D118" s="88"/>
      <c r="E118" s="88"/>
      <c r="F118" s="88"/>
      <c r="G118" s="88"/>
      <c r="H118" s="88"/>
    </row>
    <row r="119" spans="1:8" x14ac:dyDescent="0.25">
      <c r="A119" s="27"/>
      <c r="B119" s="36" t="s">
        <v>91</v>
      </c>
      <c r="C119" s="35" t="s">
        <v>24</v>
      </c>
      <c r="D119" s="27" t="s">
        <v>78</v>
      </c>
      <c r="E119" s="35" t="s">
        <v>17</v>
      </c>
      <c r="F119" s="35" t="s">
        <v>220</v>
      </c>
      <c r="G119" s="21" t="s">
        <v>66</v>
      </c>
      <c r="H119" s="37" t="s">
        <v>70</v>
      </c>
    </row>
    <row r="120" spans="1:8" x14ac:dyDescent="0.25">
      <c r="A120" s="27"/>
      <c r="B120" s="36" t="s">
        <v>91</v>
      </c>
      <c r="C120" s="35" t="s">
        <v>134</v>
      </c>
      <c r="D120" s="27" t="s">
        <v>78</v>
      </c>
      <c r="E120" s="35" t="s">
        <v>17</v>
      </c>
      <c r="F120" s="35" t="s">
        <v>221</v>
      </c>
      <c r="G120" s="21" t="s">
        <v>66</v>
      </c>
      <c r="H120" s="22" t="s">
        <v>67</v>
      </c>
    </row>
    <row r="121" spans="1:8" x14ac:dyDescent="0.25">
      <c r="A121" s="27"/>
      <c r="B121" s="38" t="s">
        <v>146</v>
      </c>
      <c r="C121" s="35" t="s">
        <v>159</v>
      </c>
      <c r="D121" s="27" t="s">
        <v>78</v>
      </c>
      <c r="E121" s="35" t="s">
        <v>17</v>
      </c>
      <c r="F121" s="35" t="s">
        <v>222</v>
      </c>
      <c r="G121" s="21" t="s">
        <v>66</v>
      </c>
      <c r="H121" s="22" t="s">
        <v>67</v>
      </c>
    </row>
    <row r="122" spans="1:8" x14ac:dyDescent="0.25">
      <c r="A122" s="27"/>
      <c r="B122" s="39" t="s">
        <v>4</v>
      </c>
      <c r="C122" s="35" t="s">
        <v>163</v>
      </c>
      <c r="D122" s="27" t="s">
        <v>78</v>
      </c>
      <c r="E122" s="35" t="s">
        <v>17</v>
      </c>
      <c r="F122" s="35" t="s">
        <v>223</v>
      </c>
      <c r="G122" s="21" t="s">
        <v>66</v>
      </c>
      <c r="H122" s="37" t="s">
        <v>70</v>
      </c>
    </row>
    <row r="123" spans="1:8" ht="18" customHeight="1" x14ac:dyDescent="0.25">
      <c r="A123" s="91" t="s">
        <v>224</v>
      </c>
      <c r="B123" s="88"/>
      <c r="C123" s="88"/>
      <c r="D123" s="88"/>
      <c r="E123" s="88"/>
      <c r="F123" s="88"/>
      <c r="G123" s="88"/>
      <c r="H123" s="88"/>
    </row>
    <row r="124" spans="1:8" x14ac:dyDescent="0.25">
      <c r="A124" s="27"/>
      <c r="B124" s="36" t="s">
        <v>91</v>
      </c>
      <c r="C124" s="35" t="s">
        <v>24</v>
      </c>
      <c r="D124" s="27" t="s">
        <v>78</v>
      </c>
      <c r="E124" s="35" t="s">
        <v>225</v>
      </c>
      <c r="F124" s="35" t="s">
        <v>226</v>
      </c>
      <c r="G124" s="21" t="s">
        <v>66</v>
      </c>
      <c r="H124" s="37" t="s">
        <v>70</v>
      </c>
    </row>
    <row r="125" spans="1:8" x14ac:dyDescent="0.25">
      <c r="A125" s="27"/>
      <c r="B125" s="36" t="s">
        <v>91</v>
      </c>
      <c r="C125" s="35" t="s">
        <v>134</v>
      </c>
      <c r="D125" s="27" t="s">
        <v>78</v>
      </c>
      <c r="E125" s="35" t="s">
        <v>225</v>
      </c>
      <c r="F125" s="35" t="s">
        <v>227</v>
      </c>
      <c r="G125" s="24" t="s">
        <v>69</v>
      </c>
      <c r="H125" s="22" t="s">
        <v>67</v>
      </c>
    </row>
    <row r="126" spans="1:8" x14ac:dyDescent="0.25">
      <c r="A126" s="27"/>
      <c r="B126" s="38" t="s">
        <v>146</v>
      </c>
      <c r="C126" s="35" t="s">
        <v>159</v>
      </c>
      <c r="D126" s="27" t="s">
        <v>78</v>
      </c>
      <c r="E126" s="35" t="s">
        <v>225</v>
      </c>
      <c r="F126" s="35" t="s">
        <v>228</v>
      </c>
      <c r="G126" s="21" t="s">
        <v>66</v>
      </c>
      <c r="H126" s="23" t="s">
        <v>72</v>
      </c>
    </row>
    <row r="127" spans="1:8" x14ac:dyDescent="0.25">
      <c r="A127" s="27"/>
      <c r="B127" s="39" t="s">
        <v>4</v>
      </c>
      <c r="C127" s="35" t="s">
        <v>163</v>
      </c>
      <c r="D127" s="27" t="s">
        <v>78</v>
      </c>
      <c r="E127" s="35" t="s">
        <v>225</v>
      </c>
      <c r="F127" s="35" t="s">
        <v>229</v>
      </c>
      <c r="G127" s="21" t="s">
        <v>66</v>
      </c>
      <c r="H127" s="37" t="s">
        <v>70</v>
      </c>
    </row>
    <row r="128" spans="1:8" x14ac:dyDescent="0.25">
      <c r="A128" s="27"/>
      <c r="B128" s="39" t="s">
        <v>4</v>
      </c>
      <c r="C128" s="35" t="s">
        <v>163</v>
      </c>
      <c r="D128" s="27" t="s">
        <v>78</v>
      </c>
      <c r="E128" s="35" t="s">
        <v>230</v>
      </c>
      <c r="F128" s="35" t="s">
        <v>231</v>
      </c>
      <c r="G128" s="21" t="s">
        <v>66</v>
      </c>
      <c r="H128" s="37" t="s">
        <v>70</v>
      </c>
    </row>
  </sheetData>
  <mergeCells count="9">
    <mergeCell ref="A118:H118"/>
    <mergeCell ref="A102:H102"/>
    <mergeCell ref="A94:H94"/>
    <mergeCell ref="A123:H123"/>
    <mergeCell ref="A1:H1"/>
    <mergeCell ref="A3:H3"/>
    <mergeCell ref="A81:H81"/>
    <mergeCell ref="A113:H113"/>
    <mergeCell ref="A108:H10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5" tint="0.59999389629810485"/>
  </sheetPr>
  <dimension ref="A1:F116"/>
  <sheetViews>
    <sheetView zoomScaleNormal="100" workbookViewId="0">
      <selection activeCell="H20" sqref="H20"/>
    </sheetView>
  </sheetViews>
  <sheetFormatPr baseColWidth="10" defaultColWidth="8.7109375" defaultRowHeight="15" x14ac:dyDescent="0.25"/>
  <cols>
    <col min="1" max="1" width="14" style="2" customWidth="1"/>
    <col min="2" max="2" width="26" style="2" customWidth="1"/>
    <col min="3" max="3" width="6" style="2" customWidth="1"/>
    <col min="4" max="4" width="36" style="2" customWidth="1"/>
    <col min="5" max="5" width="8" style="2" customWidth="1"/>
    <col min="6" max="6" width="16" style="2" customWidth="1"/>
    <col min="7" max="7" width="8.7109375" style="2" customWidth="1"/>
    <col min="8" max="16384" width="8.7109375" style="2"/>
  </cols>
  <sheetData>
    <row r="1" spans="1:6" ht="21.75" customHeight="1" x14ac:dyDescent="0.25">
      <c r="A1" s="86" t="s">
        <v>232</v>
      </c>
      <c r="B1" s="83"/>
      <c r="C1" s="83"/>
      <c r="D1" s="83"/>
      <c r="E1" s="83"/>
      <c r="F1" s="83"/>
    </row>
    <row r="2" spans="1:6" ht="18" customHeight="1" x14ac:dyDescent="0.25">
      <c r="A2" s="96" t="s">
        <v>233</v>
      </c>
      <c r="B2" s="88"/>
      <c r="C2" s="88"/>
      <c r="D2" s="88"/>
      <c r="E2" s="88"/>
      <c r="F2" s="88"/>
    </row>
    <row r="3" spans="1:6" x14ac:dyDescent="0.25">
      <c r="A3" s="40" t="s">
        <v>1</v>
      </c>
      <c r="B3" s="40" t="s">
        <v>56</v>
      </c>
      <c r="C3" s="40" t="s">
        <v>57</v>
      </c>
      <c r="D3" s="40" t="s">
        <v>59</v>
      </c>
      <c r="E3" s="40" t="s">
        <v>60</v>
      </c>
      <c r="F3" s="40" t="s">
        <v>61</v>
      </c>
    </row>
    <row r="4" spans="1:6" x14ac:dyDescent="0.25">
      <c r="A4" s="41" t="s">
        <v>10</v>
      </c>
      <c r="B4" s="35" t="s">
        <v>24</v>
      </c>
      <c r="C4" s="27"/>
      <c r="D4" s="35" t="s">
        <v>165</v>
      </c>
      <c r="E4" s="24" t="s">
        <v>69</v>
      </c>
      <c r="F4" s="37" t="s">
        <v>70</v>
      </c>
    </row>
    <row r="5" spans="1:6" x14ac:dyDescent="0.25">
      <c r="A5" s="41" t="s">
        <v>10</v>
      </c>
      <c r="B5" s="35" t="s">
        <v>24</v>
      </c>
      <c r="C5" s="27" t="s">
        <v>64</v>
      </c>
      <c r="D5" s="35" t="s">
        <v>166</v>
      </c>
      <c r="E5" s="24" t="s">
        <v>69</v>
      </c>
      <c r="F5" s="37" t="s">
        <v>70</v>
      </c>
    </row>
    <row r="6" spans="1:6" x14ac:dyDescent="0.25">
      <c r="A6" s="41" t="s">
        <v>10</v>
      </c>
      <c r="B6" s="35" t="s">
        <v>24</v>
      </c>
      <c r="C6" s="27" t="s">
        <v>64</v>
      </c>
      <c r="D6" s="35" t="s">
        <v>168</v>
      </c>
      <c r="E6" s="24" t="s">
        <v>69</v>
      </c>
      <c r="F6" s="37" t="s">
        <v>70</v>
      </c>
    </row>
    <row r="7" spans="1:6" x14ac:dyDescent="0.25">
      <c r="A7" s="41" t="s">
        <v>10</v>
      </c>
      <c r="B7" s="35" t="s">
        <v>24</v>
      </c>
      <c r="C7" s="27" t="s">
        <v>73</v>
      </c>
      <c r="D7" s="35" t="s">
        <v>169</v>
      </c>
      <c r="E7" s="21" t="s">
        <v>66</v>
      </c>
      <c r="F7" s="37" t="s">
        <v>70</v>
      </c>
    </row>
    <row r="8" spans="1:6" x14ac:dyDescent="0.25">
      <c r="A8" s="41" t="s">
        <v>10</v>
      </c>
      <c r="B8" s="35" t="s">
        <v>24</v>
      </c>
      <c r="C8" s="27" t="s">
        <v>73</v>
      </c>
      <c r="D8" s="35" t="s">
        <v>170</v>
      </c>
      <c r="E8" s="24" t="s">
        <v>69</v>
      </c>
      <c r="F8" s="37" t="s">
        <v>70</v>
      </c>
    </row>
    <row r="9" spans="1:6" x14ac:dyDescent="0.25">
      <c r="A9" s="41" t="s">
        <v>10</v>
      </c>
      <c r="B9" s="35" t="s">
        <v>24</v>
      </c>
      <c r="C9" s="27" t="s">
        <v>102</v>
      </c>
      <c r="D9" s="35" t="s">
        <v>171</v>
      </c>
      <c r="E9" s="24" t="s">
        <v>69</v>
      </c>
      <c r="F9" s="37" t="s">
        <v>70</v>
      </c>
    </row>
    <row r="10" spans="1:6" x14ac:dyDescent="0.25">
      <c r="A10" s="41" t="s">
        <v>10</v>
      </c>
      <c r="B10" s="35" t="s">
        <v>24</v>
      </c>
      <c r="C10" s="27" t="s">
        <v>102</v>
      </c>
      <c r="D10" s="35" t="s">
        <v>173</v>
      </c>
      <c r="E10" s="24" t="s">
        <v>69</v>
      </c>
      <c r="F10" s="22" t="s">
        <v>67</v>
      </c>
    </row>
    <row r="11" spans="1:6" x14ac:dyDescent="0.25">
      <c r="A11" s="41" t="s">
        <v>10</v>
      </c>
      <c r="B11" s="35" t="s">
        <v>25</v>
      </c>
      <c r="C11" s="27" t="s">
        <v>64</v>
      </c>
      <c r="D11" s="35" t="s">
        <v>174</v>
      </c>
      <c r="E11" s="21" t="s">
        <v>66</v>
      </c>
      <c r="F11" s="22" t="s">
        <v>67</v>
      </c>
    </row>
    <row r="12" spans="1:6" x14ac:dyDescent="0.25">
      <c r="A12" s="41" t="s">
        <v>10</v>
      </c>
      <c r="B12" s="35" t="s">
        <v>25</v>
      </c>
      <c r="C12" s="27" t="s">
        <v>73</v>
      </c>
      <c r="D12" s="35" t="s">
        <v>175</v>
      </c>
      <c r="E12" s="21" t="s">
        <v>66</v>
      </c>
      <c r="F12" s="37" t="s">
        <v>70</v>
      </c>
    </row>
    <row r="13" spans="1:6" x14ac:dyDescent="0.25">
      <c r="A13" s="41" t="s">
        <v>10</v>
      </c>
      <c r="B13" s="35" t="s">
        <v>26</v>
      </c>
      <c r="C13" s="27"/>
      <c r="D13" s="35" t="s">
        <v>176</v>
      </c>
      <c r="E13" s="24" t="s">
        <v>69</v>
      </c>
      <c r="F13" s="37" t="s">
        <v>70</v>
      </c>
    </row>
    <row r="14" spans="1:6" x14ac:dyDescent="0.25">
      <c r="A14" s="41" t="s">
        <v>10</v>
      </c>
      <c r="B14" s="35" t="s">
        <v>27</v>
      </c>
      <c r="C14" s="27" t="s">
        <v>104</v>
      </c>
      <c r="D14" s="35" t="s">
        <v>177</v>
      </c>
      <c r="E14" s="24" t="s">
        <v>69</v>
      </c>
      <c r="F14" s="37" t="s">
        <v>70</v>
      </c>
    </row>
    <row r="15" spans="1:6" x14ac:dyDescent="0.25">
      <c r="A15" s="41" t="s">
        <v>11</v>
      </c>
      <c r="B15" s="35" t="s">
        <v>24</v>
      </c>
      <c r="C15" s="27" t="s">
        <v>64</v>
      </c>
      <c r="D15" s="35" t="s">
        <v>192</v>
      </c>
      <c r="E15" s="24" t="s">
        <v>69</v>
      </c>
      <c r="F15" s="37" t="s">
        <v>70</v>
      </c>
    </row>
    <row r="16" spans="1:6" x14ac:dyDescent="0.25">
      <c r="A16" s="41" t="s">
        <v>12</v>
      </c>
      <c r="B16" s="35" t="s">
        <v>24</v>
      </c>
      <c r="C16" s="27"/>
      <c r="D16" s="35" t="s">
        <v>200</v>
      </c>
      <c r="E16" s="21" t="s">
        <v>66</v>
      </c>
      <c r="F16" s="37" t="s">
        <v>70</v>
      </c>
    </row>
    <row r="17" spans="1:6" x14ac:dyDescent="0.25">
      <c r="A17" s="41" t="s">
        <v>14</v>
      </c>
      <c r="B17" s="35" t="s">
        <v>24</v>
      </c>
      <c r="C17" s="27"/>
      <c r="D17" s="35" t="s">
        <v>207</v>
      </c>
      <c r="E17" s="21" t="s">
        <v>66</v>
      </c>
      <c r="F17" s="37" t="s">
        <v>70</v>
      </c>
    </row>
    <row r="18" spans="1:6" x14ac:dyDescent="0.25">
      <c r="A18" s="41" t="s">
        <v>15</v>
      </c>
      <c r="B18" s="35" t="s">
        <v>24</v>
      </c>
      <c r="C18" s="27"/>
      <c r="D18" s="35" t="s">
        <v>212</v>
      </c>
      <c r="E18" s="21" t="s">
        <v>66</v>
      </c>
      <c r="F18" s="37" t="s">
        <v>70</v>
      </c>
    </row>
    <row r="19" spans="1:6" x14ac:dyDescent="0.25">
      <c r="A19" s="41" t="s">
        <v>16</v>
      </c>
      <c r="B19" s="35" t="s">
        <v>24</v>
      </c>
      <c r="C19" s="27"/>
      <c r="D19" s="35" t="s">
        <v>218</v>
      </c>
      <c r="E19" s="24" t="s">
        <v>69</v>
      </c>
      <c r="F19" s="37" t="s">
        <v>70</v>
      </c>
    </row>
    <row r="20" spans="1:6" x14ac:dyDescent="0.25">
      <c r="A20" s="41" t="s">
        <v>17</v>
      </c>
      <c r="B20" s="35" t="s">
        <v>24</v>
      </c>
      <c r="C20" s="27"/>
      <c r="D20" s="35" t="s">
        <v>223</v>
      </c>
      <c r="E20" s="21" t="s">
        <v>66</v>
      </c>
      <c r="F20" s="37" t="s">
        <v>70</v>
      </c>
    </row>
    <row r="21" spans="1:6" x14ac:dyDescent="0.25">
      <c r="A21" s="41" t="s">
        <v>13</v>
      </c>
      <c r="B21" s="35" t="s">
        <v>24</v>
      </c>
      <c r="C21" s="27"/>
      <c r="D21" s="35" t="s">
        <v>229</v>
      </c>
      <c r="E21" s="21" t="s">
        <v>66</v>
      </c>
      <c r="F21" s="37" t="s">
        <v>70</v>
      </c>
    </row>
    <row r="22" spans="1:6" x14ac:dyDescent="0.25">
      <c r="A22" s="41" t="s">
        <v>13</v>
      </c>
      <c r="B22" s="35" t="s">
        <v>24</v>
      </c>
      <c r="C22" s="27"/>
      <c r="D22" s="35" t="s">
        <v>191</v>
      </c>
      <c r="E22" s="21" t="s">
        <v>66</v>
      </c>
      <c r="F22" s="37" t="s">
        <v>70</v>
      </c>
    </row>
    <row r="23" spans="1:6" x14ac:dyDescent="0.25">
      <c r="A23" s="41" t="s">
        <v>13</v>
      </c>
      <c r="B23" s="35" t="s">
        <v>24</v>
      </c>
      <c r="C23" s="27"/>
      <c r="D23" s="35" t="s">
        <v>231</v>
      </c>
      <c r="E23" s="21" t="s">
        <v>66</v>
      </c>
      <c r="F23" s="37" t="s">
        <v>70</v>
      </c>
    </row>
    <row r="25" spans="1:6" ht="18" customHeight="1" x14ac:dyDescent="0.25">
      <c r="A25" s="93" t="s">
        <v>234</v>
      </c>
      <c r="B25" s="88"/>
      <c r="C25" s="88"/>
      <c r="D25" s="88"/>
      <c r="E25" s="88"/>
      <c r="F25" s="88"/>
    </row>
    <row r="26" spans="1:6" x14ac:dyDescent="0.25">
      <c r="A26" s="40" t="s">
        <v>1</v>
      </c>
      <c r="B26" s="40" t="s">
        <v>56</v>
      </c>
      <c r="C26" s="40" t="s">
        <v>57</v>
      </c>
      <c r="D26" s="40" t="s">
        <v>59</v>
      </c>
      <c r="E26" s="40" t="s">
        <v>60</v>
      </c>
      <c r="F26" s="40" t="s">
        <v>61</v>
      </c>
    </row>
    <row r="27" spans="1:6" x14ac:dyDescent="0.25">
      <c r="A27" s="42" t="s">
        <v>10</v>
      </c>
      <c r="B27" s="35" t="s">
        <v>147</v>
      </c>
      <c r="C27" s="27"/>
      <c r="D27" s="35" t="s">
        <v>148</v>
      </c>
      <c r="E27" s="21" t="s">
        <v>66</v>
      </c>
      <c r="F27" s="23" t="s">
        <v>72</v>
      </c>
    </row>
    <row r="28" spans="1:6" x14ac:dyDescent="0.25">
      <c r="A28" s="42" t="s">
        <v>10</v>
      </c>
      <c r="B28" s="35" t="s">
        <v>149</v>
      </c>
      <c r="C28" s="27" t="s">
        <v>106</v>
      </c>
      <c r="D28" s="35" t="s">
        <v>150</v>
      </c>
      <c r="E28" s="24" t="s">
        <v>69</v>
      </c>
      <c r="F28" s="22" t="s">
        <v>67</v>
      </c>
    </row>
    <row r="29" spans="1:6" x14ac:dyDescent="0.25">
      <c r="A29" s="42" t="s">
        <v>10</v>
      </c>
      <c r="B29" s="35" t="s">
        <v>149</v>
      </c>
      <c r="C29" s="27" t="s">
        <v>121</v>
      </c>
      <c r="D29" s="35" t="s">
        <v>151</v>
      </c>
      <c r="E29" s="24" t="s">
        <v>69</v>
      </c>
      <c r="F29" s="37" t="s">
        <v>70</v>
      </c>
    </row>
    <row r="30" spans="1:6" x14ac:dyDescent="0.25">
      <c r="A30" s="42" t="s">
        <v>10</v>
      </c>
      <c r="B30" s="35" t="s">
        <v>152</v>
      </c>
      <c r="C30" s="27" t="s">
        <v>102</v>
      </c>
      <c r="D30" s="35" t="s">
        <v>153</v>
      </c>
      <c r="E30" s="24" t="s">
        <v>69</v>
      </c>
      <c r="F30" s="37" t="s">
        <v>70</v>
      </c>
    </row>
    <row r="31" spans="1:6" x14ac:dyDescent="0.25">
      <c r="A31" s="42" t="s">
        <v>10</v>
      </c>
      <c r="B31" s="35" t="s">
        <v>152</v>
      </c>
      <c r="C31" s="27" t="s">
        <v>104</v>
      </c>
      <c r="D31" s="35" t="s">
        <v>154</v>
      </c>
      <c r="E31" s="21" t="s">
        <v>66</v>
      </c>
      <c r="F31" s="22" t="s">
        <v>67</v>
      </c>
    </row>
    <row r="32" spans="1:6" x14ac:dyDescent="0.25">
      <c r="A32" s="42" t="s">
        <v>10</v>
      </c>
      <c r="B32" s="35" t="s">
        <v>155</v>
      </c>
      <c r="C32" s="27" t="s">
        <v>64</v>
      </c>
      <c r="D32" s="35" t="s">
        <v>156</v>
      </c>
      <c r="E32" s="21" t="s">
        <v>66</v>
      </c>
      <c r="F32" s="37" t="s">
        <v>70</v>
      </c>
    </row>
    <row r="33" spans="1:6" x14ac:dyDescent="0.25">
      <c r="A33" s="42" t="s">
        <v>10</v>
      </c>
      <c r="B33" s="35" t="s">
        <v>155</v>
      </c>
      <c r="C33" s="27" t="s">
        <v>73</v>
      </c>
      <c r="D33" s="35" t="s">
        <v>157</v>
      </c>
      <c r="E33" s="24" t="s">
        <v>69</v>
      </c>
      <c r="F33" s="37" t="s">
        <v>70</v>
      </c>
    </row>
    <row r="34" spans="1:6" ht="24" customHeight="1" x14ac:dyDescent="0.25">
      <c r="A34" s="42" t="s">
        <v>10</v>
      </c>
      <c r="B34" s="35" t="s">
        <v>155</v>
      </c>
      <c r="C34" s="27" t="s">
        <v>102</v>
      </c>
      <c r="D34" s="35" t="s">
        <v>158</v>
      </c>
      <c r="E34" s="21" t="s">
        <v>66</v>
      </c>
      <c r="F34" s="37" t="s">
        <v>70</v>
      </c>
    </row>
    <row r="35" spans="1:6" x14ac:dyDescent="0.25">
      <c r="A35" s="42" t="s">
        <v>10</v>
      </c>
      <c r="B35" s="35" t="s">
        <v>159</v>
      </c>
      <c r="C35" s="27" t="s">
        <v>64</v>
      </c>
      <c r="D35" s="35" t="s">
        <v>160</v>
      </c>
      <c r="E35" s="21" t="s">
        <v>66</v>
      </c>
      <c r="F35" s="37" t="s">
        <v>70</v>
      </c>
    </row>
    <row r="36" spans="1:6" x14ac:dyDescent="0.25">
      <c r="A36" s="42" t="s">
        <v>10</v>
      </c>
      <c r="B36" s="35" t="s">
        <v>159</v>
      </c>
      <c r="C36" s="27" t="s">
        <v>73</v>
      </c>
      <c r="D36" s="35" t="s">
        <v>161</v>
      </c>
      <c r="E36" s="21" t="s">
        <v>66</v>
      </c>
      <c r="F36" s="22" t="s">
        <v>67</v>
      </c>
    </row>
    <row r="37" spans="1:6" x14ac:dyDescent="0.25">
      <c r="A37" s="42" t="s">
        <v>10</v>
      </c>
      <c r="B37" s="35" t="s">
        <v>159</v>
      </c>
      <c r="C37" s="27" t="s">
        <v>117</v>
      </c>
      <c r="D37" s="35" t="s">
        <v>162</v>
      </c>
      <c r="E37" s="21" t="s">
        <v>66</v>
      </c>
      <c r="F37" s="37" t="s">
        <v>70</v>
      </c>
    </row>
    <row r="38" spans="1:6" x14ac:dyDescent="0.25">
      <c r="A38" s="42" t="s">
        <v>11</v>
      </c>
      <c r="B38" s="35" t="s">
        <v>152</v>
      </c>
      <c r="C38" s="27" t="s">
        <v>73</v>
      </c>
      <c r="D38" s="35" t="s">
        <v>188</v>
      </c>
      <c r="E38" s="21" t="s">
        <v>66</v>
      </c>
      <c r="F38" s="23" t="s">
        <v>72</v>
      </c>
    </row>
    <row r="39" spans="1:6" x14ac:dyDescent="0.25">
      <c r="A39" s="42" t="s">
        <v>11</v>
      </c>
      <c r="B39" s="35" t="s">
        <v>159</v>
      </c>
      <c r="C39" s="27" t="s">
        <v>64</v>
      </c>
      <c r="D39" s="35" t="s">
        <v>189</v>
      </c>
      <c r="E39" s="21" t="s">
        <v>66</v>
      </c>
      <c r="F39" s="22" t="s">
        <v>67</v>
      </c>
    </row>
    <row r="40" spans="1:6" x14ac:dyDescent="0.25">
      <c r="A40" s="42" t="s">
        <v>12</v>
      </c>
      <c r="B40" s="35" t="s">
        <v>159</v>
      </c>
      <c r="C40" s="27" t="s">
        <v>64</v>
      </c>
      <c r="D40" s="35" t="s">
        <v>198</v>
      </c>
      <c r="E40" s="24" t="s">
        <v>69</v>
      </c>
      <c r="F40" s="22" t="s">
        <v>67</v>
      </c>
    </row>
    <row r="41" spans="1:6" x14ac:dyDescent="0.25">
      <c r="A41" s="42" t="s">
        <v>12</v>
      </c>
      <c r="B41" s="35" t="s">
        <v>159</v>
      </c>
      <c r="C41" s="27" t="s">
        <v>73</v>
      </c>
      <c r="D41" s="35" t="s">
        <v>199</v>
      </c>
      <c r="E41" s="21" t="s">
        <v>66</v>
      </c>
      <c r="F41" s="22" t="s">
        <v>67</v>
      </c>
    </row>
    <row r="42" spans="1:6" x14ac:dyDescent="0.25">
      <c r="A42" s="42" t="s">
        <v>14</v>
      </c>
      <c r="B42" s="35" t="s">
        <v>159</v>
      </c>
      <c r="C42" s="27"/>
      <c r="D42" s="35" t="s">
        <v>206</v>
      </c>
      <c r="E42" s="21" t="s">
        <v>66</v>
      </c>
      <c r="F42" s="22" t="s">
        <v>67</v>
      </c>
    </row>
    <row r="43" spans="1:6" x14ac:dyDescent="0.25">
      <c r="A43" s="42" t="s">
        <v>15</v>
      </c>
      <c r="B43" s="35" t="s">
        <v>159</v>
      </c>
      <c r="C43" s="27"/>
      <c r="D43" s="35" t="s">
        <v>211</v>
      </c>
      <c r="E43" s="21" t="s">
        <v>66</v>
      </c>
      <c r="F43" s="22" t="s">
        <v>67</v>
      </c>
    </row>
    <row r="44" spans="1:6" x14ac:dyDescent="0.25">
      <c r="A44" s="42" t="s">
        <v>16</v>
      </c>
      <c r="B44" s="35" t="s">
        <v>159</v>
      </c>
      <c r="C44" s="27"/>
      <c r="D44" s="35" t="s">
        <v>217</v>
      </c>
      <c r="E44" s="24" t="s">
        <v>69</v>
      </c>
      <c r="F44" s="22" t="s">
        <v>67</v>
      </c>
    </row>
    <row r="45" spans="1:6" x14ac:dyDescent="0.25">
      <c r="A45" s="42" t="s">
        <v>17</v>
      </c>
      <c r="B45" s="35" t="s">
        <v>159</v>
      </c>
      <c r="C45" s="27"/>
      <c r="D45" s="35" t="s">
        <v>222</v>
      </c>
      <c r="E45" s="21" t="s">
        <v>66</v>
      </c>
      <c r="F45" s="22" t="s">
        <v>67</v>
      </c>
    </row>
    <row r="46" spans="1:6" x14ac:dyDescent="0.25">
      <c r="A46" s="42" t="s">
        <v>13</v>
      </c>
      <c r="B46" s="35" t="s">
        <v>159</v>
      </c>
      <c r="C46" s="27"/>
      <c r="D46" s="35" t="s">
        <v>228</v>
      </c>
      <c r="E46" s="21" t="s">
        <v>66</v>
      </c>
      <c r="F46" s="23" t="s">
        <v>72</v>
      </c>
    </row>
    <row r="48" spans="1:6" ht="18" customHeight="1" x14ac:dyDescent="0.25">
      <c r="A48" s="90" t="s">
        <v>235</v>
      </c>
      <c r="B48" s="88"/>
      <c r="C48" s="88"/>
      <c r="D48" s="88"/>
      <c r="E48" s="88"/>
      <c r="F48" s="88"/>
    </row>
    <row r="49" spans="1:6" x14ac:dyDescent="0.25">
      <c r="A49" s="40" t="s">
        <v>1</v>
      </c>
      <c r="B49" s="40" t="s">
        <v>56</v>
      </c>
      <c r="C49" s="40" t="s">
        <v>57</v>
      </c>
      <c r="D49" s="40" t="s">
        <v>59</v>
      </c>
      <c r="E49" s="40" t="s">
        <v>60</v>
      </c>
      <c r="F49" s="40" t="s">
        <v>61</v>
      </c>
    </row>
    <row r="50" spans="1:6" x14ac:dyDescent="0.25">
      <c r="A50" s="43" t="s">
        <v>10</v>
      </c>
      <c r="B50" s="35" t="s">
        <v>24</v>
      </c>
      <c r="C50" s="27" t="s">
        <v>64</v>
      </c>
      <c r="D50" s="35" t="s">
        <v>100</v>
      </c>
      <c r="E50" s="21" t="s">
        <v>66</v>
      </c>
      <c r="F50" s="22" t="s">
        <v>67</v>
      </c>
    </row>
    <row r="51" spans="1:6" x14ac:dyDescent="0.25">
      <c r="A51" s="43" t="s">
        <v>10</v>
      </c>
      <c r="B51" s="35" t="s">
        <v>24</v>
      </c>
      <c r="C51" s="27" t="s">
        <v>73</v>
      </c>
      <c r="D51" s="35" t="s">
        <v>101</v>
      </c>
      <c r="E51" s="21" t="s">
        <v>66</v>
      </c>
      <c r="F51" s="22" t="s">
        <v>67</v>
      </c>
    </row>
    <row r="52" spans="1:6" x14ac:dyDescent="0.25">
      <c r="A52" s="43" t="s">
        <v>10</v>
      </c>
      <c r="B52" s="35" t="s">
        <v>24</v>
      </c>
      <c r="C52" s="27" t="s">
        <v>102</v>
      </c>
      <c r="D52" s="35" t="s">
        <v>103</v>
      </c>
      <c r="E52" s="24" t="s">
        <v>69</v>
      </c>
      <c r="F52" s="22" t="s">
        <v>67</v>
      </c>
    </row>
    <row r="53" spans="1:6" x14ac:dyDescent="0.25">
      <c r="A53" s="43" t="s">
        <v>10</v>
      </c>
      <c r="B53" s="35" t="s">
        <v>24</v>
      </c>
      <c r="C53" s="27" t="s">
        <v>104</v>
      </c>
      <c r="D53" s="35" t="s">
        <v>105</v>
      </c>
      <c r="E53" s="21" t="s">
        <v>66</v>
      </c>
      <c r="F53" s="37" t="s">
        <v>70</v>
      </c>
    </row>
    <row r="54" spans="1:6" x14ac:dyDescent="0.25">
      <c r="A54" s="43" t="s">
        <v>10</v>
      </c>
      <c r="B54" s="35" t="s">
        <v>24</v>
      </c>
      <c r="C54" s="27" t="s">
        <v>106</v>
      </c>
      <c r="D54" s="35" t="s">
        <v>107</v>
      </c>
      <c r="E54" s="21" t="s">
        <v>66</v>
      </c>
      <c r="F54" s="37" t="s">
        <v>70</v>
      </c>
    </row>
    <row r="55" spans="1:6" x14ac:dyDescent="0.25">
      <c r="A55" s="43" t="s">
        <v>10</v>
      </c>
      <c r="B55" s="35" t="s">
        <v>108</v>
      </c>
      <c r="C55" s="27"/>
      <c r="D55" s="35" t="s">
        <v>109</v>
      </c>
      <c r="E55" s="21" t="s">
        <v>66</v>
      </c>
      <c r="F55" s="37" t="s">
        <v>70</v>
      </c>
    </row>
    <row r="56" spans="1:6" x14ac:dyDescent="0.25">
      <c r="A56" s="43" t="s">
        <v>10</v>
      </c>
      <c r="B56" s="35" t="s">
        <v>28</v>
      </c>
      <c r="C56" s="27"/>
      <c r="D56" s="35" t="s">
        <v>110</v>
      </c>
      <c r="E56" s="24" t="s">
        <v>69</v>
      </c>
      <c r="F56" s="37" t="s">
        <v>70</v>
      </c>
    </row>
    <row r="57" spans="1:6" x14ac:dyDescent="0.25">
      <c r="A57" s="43" t="s">
        <v>10</v>
      </c>
      <c r="B57" s="35" t="s">
        <v>25</v>
      </c>
      <c r="C57" s="27" t="s">
        <v>64</v>
      </c>
      <c r="D57" s="35" t="s">
        <v>111</v>
      </c>
      <c r="E57" s="24" t="s">
        <v>69</v>
      </c>
      <c r="F57" s="37" t="s">
        <v>70</v>
      </c>
    </row>
    <row r="58" spans="1:6" x14ac:dyDescent="0.25">
      <c r="A58" s="43" t="s">
        <v>10</v>
      </c>
      <c r="B58" s="35" t="s">
        <v>25</v>
      </c>
      <c r="C58" s="27" t="s">
        <v>73</v>
      </c>
      <c r="D58" s="35" t="s">
        <v>112</v>
      </c>
      <c r="E58" s="24" t="s">
        <v>69</v>
      </c>
      <c r="F58" s="23" t="s">
        <v>72</v>
      </c>
    </row>
    <row r="59" spans="1:6" x14ac:dyDescent="0.25">
      <c r="A59" s="43" t="s">
        <v>10</v>
      </c>
      <c r="B59" s="35" t="s">
        <v>25</v>
      </c>
      <c r="C59" s="27" t="s">
        <v>102</v>
      </c>
      <c r="D59" s="35" t="s">
        <v>113</v>
      </c>
      <c r="E59" s="21" t="s">
        <v>66</v>
      </c>
      <c r="F59" s="37" t="s">
        <v>70</v>
      </c>
    </row>
    <row r="60" spans="1:6" x14ac:dyDescent="0.25">
      <c r="A60" s="43" t="s">
        <v>10</v>
      </c>
      <c r="B60" s="35" t="s">
        <v>25</v>
      </c>
      <c r="C60" s="27" t="s">
        <v>104</v>
      </c>
      <c r="D60" s="35" t="s">
        <v>114</v>
      </c>
      <c r="E60" s="24" t="s">
        <v>69</v>
      </c>
      <c r="F60" s="23" t="s">
        <v>72</v>
      </c>
    </row>
    <row r="61" spans="1:6" x14ac:dyDescent="0.25">
      <c r="A61" s="43" t="s">
        <v>10</v>
      </c>
      <c r="B61" s="35" t="s">
        <v>115</v>
      </c>
      <c r="C61" s="27" t="s">
        <v>125</v>
      </c>
      <c r="D61" s="35" t="s">
        <v>126</v>
      </c>
      <c r="E61" s="21" t="s">
        <v>66</v>
      </c>
      <c r="F61" s="23" t="s">
        <v>72</v>
      </c>
    </row>
    <row r="62" spans="1:6" x14ac:dyDescent="0.25">
      <c r="A62" s="43" t="s">
        <v>10</v>
      </c>
      <c r="B62" s="35" t="s">
        <v>115</v>
      </c>
      <c r="C62" s="27" t="s">
        <v>106</v>
      </c>
      <c r="D62" s="35" t="s">
        <v>116</v>
      </c>
      <c r="E62" s="21" t="s">
        <v>66</v>
      </c>
      <c r="F62" s="23" t="s">
        <v>72</v>
      </c>
    </row>
    <row r="63" spans="1:6" x14ac:dyDescent="0.25">
      <c r="A63" s="43" t="s">
        <v>10</v>
      </c>
      <c r="B63" s="35" t="s">
        <v>115</v>
      </c>
      <c r="C63" s="27" t="s">
        <v>117</v>
      </c>
      <c r="D63" s="35" t="s">
        <v>118</v>
      </c>
      <c r="E63" s="24" t="s">
        <v>69</v>
      </c>
      <c r="F63" s="23" t="s">
        <v>72</v>
      </c>
    </row>
    <row r="64" spans="1:6" x14ac:dyDescent="0.25">
      <c r="A64" s="43" t="s">
        <v>10</v>
      </c>
      <c r="B64" s="35" t="s">
        <v>115</v>
      </c>
      <c r="C64" s="27" t="s">
        <v>119</v>
      </c>
      <c r="D64" s="35" t="s">
        <v>120</v>
      </c>
      <c r="E64" s="24" t="s">
        <v>69</v>
      </c>
      <c r="F64" s="23" t="s">
        <v>72</v>
      </c>
    </row>
    <row r="65" spans="1:6" x14ac:dyDescent="0.25">
      <c r="A65" s="43" t="s">
        <v>10</v>
      </c>
      <c r="B65" s="35" t="s">
        <v>115</v>
      </c>
      <c r="C65" s="27" t="s">
        <v>121</v>
      </c>
      <c r="D65" s="35" t="s">
        <v>122</v>
      </c>
      <c r="E65" s="21" t="s">
        <v>66</v>
      </c>
      <c r="F65" s="23" t="s">
        <v>72</v>
      </c>
    </row>
    <row r="66" spans="1:6" x14ac:dyDescent="0.25">
      <c r="A66" s="43" t="s">
        <v>10</v>
      </c>
      <c r="B66" s="35" t="s">
        <v>115</v>
      </c>
      <c r="C66" s="27" t="s">
        <v>123</v>
      </c>
      <c r="D66" s="35" t="s">
        <v>124</v>
      </c>
      <c r="E66" s="24" t="s">
        <v>69</v>
      </c>
      <c r="F66" s="37" t="s">
        <v>70</v>
      </c>
    </row>
    <row r="67" spans="1:6" x14ac:dyDescent="0.25">
      <c r="A67" s="43" t="s">
        <v>10</v>
      </c>
      <c r="B67" s="35" t="s">
        <v>92</v>
      </c>
      <c r="C67" s="27"/>
      <c r="D67" s="35" t="s">
        <v>93</v>
      </c>
      <c r="E67" s="21" t="s">
        <v>66</v>
      </c>
      <c r="F67" s="22" t="s">
        <v>67</v>
      </c>
    </row>
    <row r="68" spans="1:6" x14ac:dyDescent="0.25">
      <c r="A68" s="43" t="s">
        <v>10</v>
      </c>
      <c r="B68" s="35" t="s">
        <v>96</v>
      </c>
      <c r="C68" s="27" t="s">
        <v>64</v>
      </c>
      <c r="D68" s="35" t="s">
        <v>97</v>
      </c>
      <c r="E68" s="24" t="s">
        <v>69</v>
      </c>
      <c r="F68" s="37" t="s">
        <v>70</v>
      </c>
    </row>
    <row r="69" spans="1:6" x14ac:dyDescent="0.25">
      <c r="A69" s="43" t="s">
        <v>10</v>
      </c>
      <c r="B69" s="35" t="s">
        <v>96</v>
      </c>
      <c r="C69" s="27" t="s">
        <v>73</v>
      </c>
      <c r="D69" s="35" t="s">
        <v>236</v>
      </c>
      <c r="E69" s="21" t="s">
        <v>66</v>
      </c>
      <c r="F69" s="37" t="s">
        <v>70</v>
      </c>
    </row>
    <row r="70" spans="1:6" ht="24" customHeight="1" x14ac:dyDescent="0.25">
      <c r="A70" s="43" t="s">
        <v>10</v>
      </c>
      <c r="B70" s="35" t="s">
        <v>127</v>
      </c>
      <c r="C70" s="27" t="s">
        <v>106</v>
      </c>
      <c r="D70" s="35" t="s">
        <v>128</v>
      </c>
      <c r="E70" s="24" t="s">
        <v>69</v>
      </c>
      <c r="F70" s="37" t="s">
        <v>70</v>
      </c>
    </row>
    <row r="71" spans="1:6" x14ac:dyDescent="0.25">
      <c r="A71" s="43" t="s">
        <v>10</v>
      </c>
      <c r="B71" s="35" t="s">
        <v>127</v>
      </c>
      <c r="C71" s="27" t="s">
        <v>117</v>
      </c>
      <c r="D71" s="35" t="s">
        <v>129</v>
      </c>
      <c r="E71" s="21" t="s">
        <v>66</v>
      </c>
      <c r="F71" s="22" t="s">
        <v>67</v>
      </c>
    </row>
    <row r="72" spans="1:6" ht="24" customHeight="1" x14ac:dyDescent="0.25">
      <c r="A72" s="43" t="s">
        <v>10</v>
      </c>
      <c r="B72" s="35" t="s">
        <v>130</v>
      </c>
      <c r="C72" s="27" t="s">
        <v>64</v>
      </c>
      <c r="D72" s="35" t="s">
        <v>131</v>
      </c>
      <c r="E72" s="24" t="s">
        <v>69</v>
      </c>
      <c r="F72" s="37" t="s">
        <v>70</v>
      </c>
    </row>
    <row r="73" spans="1:6" ht="24" customHeight="1" x14ac:dyDescent="0.25">
      <c r="A73" s="43" t="s">
        <v>10</v>
      </c>
      <c r="B73" s="35" t="s">
        <v>130</v>
      </c>
      <c r="C73" s="27" t="s">
        <v>73</v>
      </c>
      <c r="D73" s="35" t="s">
        <v>132</v>
      </c>
      <c r="E73" s="24" t="s">
        <v>69</v>
      </c>
      <c r="F73" s="37" t="s">
        <v>70</v>
      </c>
    </row>
    <row r="74" spans="1:6" x14ac:dyDescent="0.25">
      <c r="A74" s="43" t="s">
        <v>10</v>
      </c>
      <c r="B74" s="35" t="s">
        <v>130</v>
      </c>
      <c r="C74" s="27" t="s">
        <v>102</v>
      </c>
      <c r="D74" s="35" t="s">
        <v>133</v>
      </c>
      <c r="E74" s="21" t="s">
        <v>66</v>
      </c>
      <c r="F74" s="37" t="s">
        <v>70</v>
      </c>
    </row>
    <row r="75" spans="1:6" x14ac:dyDescent="0.25">
      <c r="A75" s="43" t="s">
        <v>10</v>
      </c>
      <c r="B75" s="35" t="s">
        <v>134</v>
      </c>
      <c r="C75" s="27" t="s">
        <v>64</v>
      </c>
      <c r="D75" s="35" t="s">
        <v>135</v>
      </c>
      <c r="E75" s="21" t="s">
        <v>66</v>
      </c>
      <c r="F75" s="22" t="s">
        <v>67</v>
      </c>
    </row>
    <row r="76" spans="1:6" x14ac:dyDescent="0.25">
      <c r="A76" s="43" t="s">
        <v>10</v>
      </c>
      <c r="B76" s="35" t="s">
        <v>134</v>
      </c>
      <c r="C76" s="27" t="s">
        <v>73</v>
      </c>
      <c r="D76" s="35" t="s">
        <v>136</v>
      </c>
      <c r="E76" s="21" t="s">
        <v>66</v>
      </c>
      <c r="F76" s="37" t="s">
        <v>70</v>
      </c>
    </row>
    <row r="77" spans="1:6" x14ac:dyDescent="0.25">
      <c r="A77" s="43" t="s">
        <v>10</v>
      </c>
      <c r="B77" s="35" t="s">
        <v>134</v>
      </c>
      <c r="C77" s="27" t="s">
        <v>102</v>
      </c>
      <c r="D77" s="35" t="s">
        <v>137</v>
      </c>
      <c r="E77" s="21" t="s">
        <v>66</v>
      </c>
      <c r="F77" s="22" t="s">
        <v>67</v>
      </c>
    </row>
    <row r="78" spans="1:6" x14ac:dyDescent="0.25">
      <c r="A78" s="43" t="s">
        <v>10</v>
      </c>
      <c r="B78" s="35" t="s">
        <v>134</v>
      </c>
      <c r="C78" s="27" t="s">
        <v>104</v>
      </c>
      <c r="D78" s="35" t="s">
        <v>138</v>
      </c>
      <c r="E78" s="24" t="s">
        <v>69</v>
      </c>
      <c r="F78" s="37" t="s">
        <v>70</v>
      </c>
    </row>
    <row r="79" spans="1:6" x14ac:dyDescent="0.25">
      <c r="A79" s="43" t="s">
        <v>10</v>
      </c>
      <c r="B79" s="35" t="s">
        <v>139</v>
      </c>
      <c r="C79" s="27" t="s">
        <v>64</v>
      </c>
      <c r="D79" s="35" t="s">
        <v>140</v>
      </c>
      <c r="E79" s="21" t="s">
        <v>66</v>
      </c>
      <c r="F79" s="37" t="s">
        <v>70</v>
      </c>
    </row>
    <row r="80" spans="1:6" x14ac:dyDescent="0.25">
      <c r="A80" s="43" t="s">
        <v>10</v>
      </c>
      <c r="B80" s="35" t="s">
        <v>139</v>
      </c>
      <c r="C80" s="27" t="s">
        <v>73</v>
      </c>
      <c r="D80" s="35" t="s">
        <v>141</v>
      </c>
      <c r="E80" s="21" t="s">
        <v>66</v>
      </c>
      <c r="F80" s="22" t="s">
        <v>67</v>
      </c>
    </row>
    <row r="81" spans="1:6" x14ac:dyDescent="0.25">
      <c r="A81" s="43" t="s">
        <v>10</v>
      </c>
      <c r="B81" s="35" t="s">
        <v>139</v>
      </c>
      <c r="C81" s="27" t="s">
        <v>102</v>
      </c>
      <c r="D81" s="35" t="s">
        <v>142</v>
      </c>
      <c r="E81" s="24" t="s">
        <v>69</v>
      </c>
      <c r="F81" s="22" t="s">
        <v>67</v>
      </c>
    </row>
    <row r="82" spans="1:6" x14ac:dyDescent="0.25">
      <c r="A82" s="43" t="s">
        <v>10</v>
      </c>
      <c r="B82" s="35" t="s">
        <v>139</v>
      </c>
      <c r="C82" s="27" t="s">
        <v>104</v>
      </c>
      <c r="D82" s="35" t="s">
        <v>143</v>
      </c>
      <c r="E82" s="24" t="s">
        <v>69</v>
      </c>
      <c r="F82" s="23" t="s">
        <v>72</v>
      </c>
    </row>
    <row r="83" spans="1:6" x14ac:dyDescent="0.25">
      <c r="A83" s="43" t="s">
        <v>10</v>
      </c>
      <c r="B83" s="35" t="s">
        <v>237</v>
      </c>
      <c r="C83" s="27"/>
      <c r="D83" s="35" t="s">
        <v>145</v>
      </c>
      <c r="E83" s="21" t="s">
        <v>66</v>
      </c>
      <c r="F83" s="37" t="s">
        <v>70</v>
      </c>
    </row>
    <row r="84" spans="1:6" x14ac:dyDescent="0.25">
      <c r="A84" s="43" t="s">
        <v>11</v>
      </c>
      <c r="B84" s="35" t="s">
        <v>24</v>
      </c>
      <c r="C84" s="27"/>
      <c r="D84" s="35" t="s">
        <v>183</v>
      </c>
      <c r="E84" s="21" t="s">
        <v>66</v>
      </c>
      <c r="F84" s="22" t="s">
        <v>67</v>
      </c>
    </row>
    <row r="85" spans="1:6" x14ac:dyDescent="0.25">
      <c r="A85" s="43" t="s">
        <v>11</v>
      </c>
      <c r="B85" s="35" t="s">
        <v>115</v>
      </c>
      <c r="C85" s="27"/>
      <c r="D85" s="35" t="s">
        <v>184</v>
      </c>
      <c r="E85" s="21" t="s">
        <v>66</v>
      </c>
      <c r="F85" s="23" t="s">
        <v>72</v>
      </c>
    </row>
    <row r="86" spans="1:6" x14ac:dyDescent="0.25">
      <c r="A86" s="43" t="s">
        <v>11</v>
      </c>
      <c r="B86" s="35" t="s">
        <v>134</v>
      </c>
      <c r="C86" s="27" t="s">
        <v>64</v>
      </c>
      <c r="D86" s="35" t="s">
        <v>185</v>
      </c>
      <c r="E86" s="24" t="s">
        <v>69</v>
      </c>
      <c r="F86" s="22" t="s">
        <v>67</v>
      </c>
    </row>
    <row r="87" spans="1:6" x14ac:dyDescent="0.25">
      <c r="A87" s="43" t="s">
        <v>11</v>
      </c>
      <c r="B87" s="35" t="s">
        <v>134</v>
      </c>
      <c r="C87" s="27" t="s">
        <v>73</v>
      </c>
      <c r="D87" s="35" t="s">
        <v>186</v>
      </c>
      <c r="E87" s="21" t="s">
        <v>66</v>
      </c>
      <c r="F87" s="22" t="s">
        <v>67</v>
      </c>
    </row>
    <row r="88" spans="1:6" x14ac:dyDescent="0.25">
      <c r="A88" s="43" t="s">
        <v>11</v>
      </c>
      <c r="B88" s="35" t="s">
        <v>134</v>
      </c>
      <c r="C88" s="27" t="s">
        <v>102</v>
      </c>
      <c r="D88" s="35" t="s">
        <v>187</v>
      </c>
      <c r="E88" s="21" t="s">
        <v>66</v>
      </c>
      <c r="F88" s="22" t="s">
        <v>67</v>
      </c>
    </row>
    <row r="89" spans="1:6" x14ac:dyDescent="0.25">
      <c r="A89" s="43" t="s">
        <v>12</v>
      </c>
      <c r="B89" s="35" t="s">
        <v>24</v>
      </c>
      <c r="C89" s="27"/>
      <c r="D89" s="35" t="s">
        <v>194</v>
      </c>
      <c r="E89" s="21" t="s">
        <v>66</v>
      </c>
      <c r="F89" s="22" t="s">
        <v>67</v>
      </c>
    </row>
    <row r="90" spans="1:6" x14ac:dyDescent="0.25">
      <c r="A90" s="43" t="s">
        <v>12</v>
      </c>
      <c r="B90" s="35" t="s">
        <v>25</v>
      </c>
      <c r="C90" s="27"/>
      <c r="D90" s="35" t="s">
        <v>195</v>
      </c>
      <c r="E90" s="24" t="s">
        <v>69</v>
      </c>
      <c r="F90" s="23" t="s">
        <v>72</v>
      </c>
    </row>
    <row r="91" spans="1:6" x14ac:dyDescent="0.25">
      <c r="A91" s="43" t="s">
        <v>12</v>
      </c>
      <c r="B91" s="35" t="s">
        <v>134</v>
      </c>
      <c r="C91" s="27" t="s">
        <v>64</v>
      </c>
      <c r="D91" s="35" t="s">
        <v>196</v>
      </c>
      <c r="E91" s="21" t="s">
        <v>66</v>
      </c>
      <c r="F91" s="22" t="s">
        <v>67</v>
      </c>
    </row>
    <row r="92" spans="1:6" x14ac:dyDescent="0.25">
      <c r="A92" s="43" t="s">
        <v>12</v>
      </c>
      <c r="B92" s="35" t="s">
        <v>134</v>
      </c>
      <c r="C92" s="27" t="s">
        <v>73</v>
      </c>
      <c r="D92" s="35" t="s">
        <v>197</v>
      </c>
      <c r="E92" s="21" t="s">
        <v>66</v>
      </c>
      <c r="F92" s="22" t="s">
        <v>67</v>
      </c>
    </row>
    <row r="93" spans="1:6" x14ac:dyDescent="0.25">
      <c r="A93" s="43" t="s">
        <v>14</v>
      </c>
      <c r="B93" s="35" t="s">
        <v>24</v>
      </c>
      <c r="C93" s="27"/>
      <c r="D93" s="35" t="s">
        <v>202</v>
      </c>
      <c r="E93" s="21" t="s">
        <v>66</v>
      </c>
      <c r="F93" s="22" t="s">
        <v>67</v>
      </c>
    </row>
    <row r="94" spans="1:6" x14ac:dyDescent="0.25">
      <c r="A94" s="43" t="s">
        <v>14</v>
      </c>
      <c r="B94" s="35" t="s">
        <v>203</v>
      </c>
      <c r="C94" s="27"/>
      <c r="D94" s="35" t="s">
        <v>204</v>
      </c>
      <c r="E94" s="21" t="s">
        <v>66</v>
      </c>
      <c r="F94" s="37" t="s">
        <v>70</v>
      </c>
    </row>
    <row r="95" spans="1:6" x14ac:dyDescent="0.25">
      <c r="A95" s="43" t="s">
        <v>14</v>
      </c>
      <c r="B95" s="35" t="s">
        <v>134</v>
      </c>
      <c r="C95" s="27"/>
      <c r="D95" s="35" t="s">
        <v>205</v>
      </c>
      <c r="E95" s="21" t="s">
        <v>66</v>
      </c>
      <c r="F95" s="22" t="s">
        <v>67</v>
      </c>
    </row>
    <row r="96" spans="1:6" x14ac:dyDescent="0.25">
      <c r="A96" s="43" t="s">
        <v>15</v>
      </c>
      <c r="B96" s="35" t="s">
        <v>24</v>
      </c>
      <c r="C96" s="27"/>
      <c r="D96" s="35" t="s">
        <v>209</v>
      </c>
      <c r="E96" s="24" t="s">
        <v>69</v>
      </c>
      <c r="F96" s="37" t="s">
        <v>70</v>
      </c>
    </row>
    <row r="97" spans="1:6" x14ac:dyDescent="0.25">
      <c r="A97" s="43" t="s">
        <v>15</v>
      </c>
      <c r="B97" s="35" t="s">
        <v>134</v>
      </c>
      <c r="C97" s="27"/>
      <c r="D97" s="35" t="s">
        <v>210</v>
      </c>
      <c r="E97" s="21" t="s">
        <v>66</v>
      </c>
      <c r="F97" s="23" t="s">
        <v>72</v>
      </c>
    </row>
    <row r="98" spans="1:6" x14ac:dyDescent="0.25">
      <c r="A98" s="43" t="s">
        <v>16</v>
      </c>
      <c r="B98" s="35" t="s">
        <v>24</v>
      </c>
      <c r="C98" s="27"/>
      <c r="D98" s="35" t="s">
        <v>215</v>
      </c>
      <c r="E98" s="21" t="s">
        <v>66</v>
      </c>
      <c r="F98" s="22" t="s">
        <v>67</v>
      </c>
    </row>
    <row r="99" spans="1:6" x14ac:dyDescent="0.25">
      <c r="A99" s="43" t="s">
        <v>16</v>
      </c>
      <c r="B99" s="35" t="s">
        <v>134</v>
      </c>
      <c r="C99" s="27"/>
      <c r="D99" s="35" t="s">
        <v>216</v>
      </c>
      <c r="E99" s="24" t="s">
        <v>69</v>
      </c>
      <c r="F99" s="22" t="s">
        <v>67</v>
      </c>
    </row>
    <row r="100" spans="1:6" x14ac:dyDescent="0.25">
      <c r="A100" s="43" t="s">
        <v>17</v>
      </c>
      <c r="B100" s="35" t="s">
        <v>24</v>
      </c>
      <c r="C100" s="27"/>
      <c r="D100" s="35" t="s">
        <v>220</v>
      </c>
      <c r="E100" s="21" t="s">
        <v>66</v>
      </c>
      <c r="F100" s="37" t="s">
        <v>70</v>
      </c>
    </row>
    <row r="101" spans="1:6" x14ac:dyDescent="0.25">
      <c r="A101" s="43" t="s">
        <v>17</v>
      </c>
      <c r="B101" s="35" t="s">
        <v>134</v>
      </c>
      <c r="C101" s="27"/>
      <c r="D101" s="35" t="s">
        <v>221</v>
      </c>
      <c r="E101" s="21" t="s">
        <v>66</v>
      </c>
      <c r="F101" s="22" t="s">
        <v>67</v>
      </c>
    </row>
    <row r="102" spans="1:6" x14ac:dyDescent="0.25">
      <c r="A102" s="43" t="s">
        <v>13</v>
      </c>
      <c r="B102" s="35" t="s">
        <v>24</v>
      </c>
      <c r="C102" s="27"/>
      <c r="D102" s="35" t="s">
        <v>226</v>
      </c>
      <c r="E102" s="21" t="s">
        <v>66</v>
      </c>
      <c r="F102" s="37" t="s">
        <v>70</v>
      </c>
    </row>
    <row r="103" spans="1:6" x14ac:dyDescent="0.25">
      <c r="A103" s="43" t="s">
        <v>13</v>
      </c>
      <c r="B103" s="35" t="s">
        <v>134</v>
      </c>
      <c r="C103" s="27"/>
      <c r="D103" s="35" t="s">
        <v>227</v>
      </c>
      <c r="E103" s="24" t="s">
        <v>69</v>
      </c>
      <c r="F103" s="22" t="s">
        <v>67</v>
      </c>
    </row>
    <row r="105" spans="1:6" ht="18" customHeight="1" x14ac:dyDescent="0.25">
      <c r="A105" s="98" t="s">
        <v>238</v>
      </c>
      <c r="B105" s="88"/>
      <c r="C105" s="88"/>
      <c r="D105" s="88"/>
      <c r="E105" s="88"/>
      <c r="F105" s="88"/>
    </row>
    <row r="106" spans="1:6" x14ac:dyDescent="0.25">
      <c r="A106" s="40" t="s">
        <v>1</v>
      </c>
      <c r="B106" s="40" t="s">
        <v>56</v>
      </c>
      <c r="C106" s="40" t="s">
        <v>57</v>
      </c>
      <c r="D106" s="40" t="s">
        <v>59</v>
      </c>
      <c r="E106" s="40" t="s">
        <v>60</v>
      </c>
      <c r="F106" s="40" t="s">
        <v>61</v>
      </c>
    </row>
    <row r="107" spans="1:6" x14ac:dyDescent="0.25">
      <c r="A107" s="44" t="s">
        <v>10</v>
      </c>
      <c r="B107" s="35" t="s">
        <v>24</v>
      </c>
      <c r="C107" s="27"/>
      <c r="D107" s="35" t="s">
        <v>82</v>
      </c>
      <c r="E107" s="21" t="s">
        <v>66</v>
      </c>
      <c r="F107" s="22" t="s">
        <v>67</v>
      </c>
    </row>
    <row r="108" spans="1:6" x14ac:dyDescent="0.25">
      <c r="A108" s="44" t="s">
        <v>10</v>
      </c>
      <c r="B108" s="35" t="s">
        <v>26</v>
      </c>
      <c r="C108" s="27" t="s">
        <v>64</v>
      </c>
      <c r="D108" s="35" t="s">
        <v>85</v>
      </c>
      <c r="E108" s="21" t="s">
        <v>66</v>
      </c>
      <c r="F108" s="22" t="s">
        <v>67</v>
      </c>
    </row>
    <row r="109" spans="1:6" x14ac:dyDescent="0.25">
      <c r="A109" s="44" t="s">
        <v>10</v>
      </c>
      <c r="B109" s="35" t="s">
        <v>26</v>
      </c>
      <c r="C109" s="27" t="s">
        <v>73</v>
      </c>
      <c r="D109" s="35" t="s">
        <v>88</v>
      </c>
      <c r="E109" s="21" t="s">
        <v>66</v>
      </c>
      <c r="F109" s="22" t="s">
        <v>67</v>
      </c>
    </row>
    <row r="110" spans="1:6" x14ac:dyDescent="0.25">
      <c r="A110" s="44" t="s">
        <v>10</v>
      </c>
      <c r="B110" s="35" t="s">
        <v>63</v>
      </c>
      <c r="C110" s="27" t="s">
        <v>64</v>
      </c>
      <c r="D110" s="35" t="s">
        <v>65</v>
      </c>
      <c r="E110" s="21" t="s">
        <v>66</v>
      </c>
      <c r="F110" s="22" t="s">
        <v>67</v>
      </c>
    </row>
    <row r="111" spans="1:6" x14ac:dyDescent="0.25">
      <c r="A111" s="44" t="s">
        <v>10</v>
      </c>
      <c r="B111" s="35" t="s">
        <v>63</v>
      </c>
      <c r="C111" s="27" t="s">
        <v>73</v>
      </c>
      <c r="D111" s="35" t="s">
        <v>74</v>
      </c>
      <c r="E111" s="21" t="s">
        <v>66</v>
      </c>
      <c r="F111" s="23" t="s">
        <v>72</v>
      </c>
    </row>
    <row r="112" spans="1:6" ht="24" customHeight="1" x14ac:dyDescent="0.25">
      <c r="A112" s="44" t="s">
        <v>10</v>
      </c>
      <c r="B112" s="35" t="s">
        <v>239</v>
      </c>
      <c r="C112" s="27"/>
      <c r="D112" s="35" t="s">
        <v>79</v>
      </c>
      <c r="E112" s="21" t="s">
        <v>66</v>
      </c>
      <c r="F112" s="22" t="s">
        <v>67</v>
      </c>
    </row>
    <row r="113" spans="1:6" x14ac:dyDescent="0.25">
      <c r="A113" s="44" t="s">
        <v>11</v>
      </c>
      <c r="B113" s="35" t="s">
        <v>179</v>
      </c>
      <c r="C113" s="27"/>
      <c r="D113" s="35" t="s">
        <v>180</v>
      </c>
      <c r="E113" s="21" t="s">
        <v>66</v>
      </c>
      <c r="F113" s="22" t="s">
        <v>67</v>
      </c>
    </row>
    <row r="116" spans="1:6" ht="15" customHeight="1" x14ac:dyDescent="0.25">
      <c r="A116" s="97" t="s">
        <v>240</v>
      </c>
      <c r="B116" s="83"/>
      <c r="C116" s="83"/>
      <c r="D116" s="83"/>
      <c r="E116" s="83"/>
      <c r="F116" s="83"/>
    </row>
  </sheetData>
  <mergeCells count="6">
    <mergeCell ref="A2:F2"/>
    <mergeCell ref="A116:F116"/>
    <mergeCell ref="A1:F1"/>
    <mergeCell ref="A105:F105"/>
    <mergeCell ref="A48:F48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5" tint="0.59999389629810485"/>
  </sheetPr>
  <dimension ref="A1:I123"/>
  <sheetViews>
    <sheetView topLeftCell="A50" zoomScaleNormal="100" workbookViewId="0">
      <selection activeCell="O53" sqref="O53"/>
    </sheetView>
  </sheetViews>
  <sheetFormatPr baseColWidth="10" defaultColWidth="8.7109375" defaultRowHeight="15" x14ac:dyDescent="0.25"/>
  <cols>
    <col min="1" max="1" width="14" style="2" customWidth="1"/>
    <col min="2" max="2" width="20" style="2" customWidth="1"/>
    <col min="3" max="3" width="10" style="2" customWidth="1"/>
    <col min="4" max="4" width="22" style="2" customWidth="1"/>
    <col min="5" max="5" width="6" style="2" customWidth="1"/>
    <col min="6" max="6" width="38" style="2" customWidth="1"/>
    <col min="7" max="7" width="8" style="2" customWidth="1"/>
    <col min="8" max="8" width="11" style="2" customWidth="1"/>
    <col min="9" max="9" width="18" style="2" customWidth="1"/>
    <col min="10" max="10" width="8.7109375" style="2" customWidth="1"/>
    <col min="11" max="16384" width="8.7109375" style="2"/>
  </cols>
  <sheetData>
    <row r="1" spans="1:9" ht="21.75" customHeight="1" x14ac:dyDescent="0.25">
      <c r="A1" s="86" t="s">
        <v>241</v>
      </c>
      <c r="B1" s="83"/>
      <c r="C1" s="83"/>
      <c r="D1" s="83"/>
      <c r="E1" s="83"/>
      <c r="F1" s="83"/>
      <c r="G1" s="83"/>
      <c r="H1" s="83"/>
      <c r="I1" s="83"/>
    </row>
    <row r="2" spans="1:9" ht="24" customHeight="1" x14ac:dyDescent="0.25">
      <c r="A2" s="45" t="s">
        <v>1</v>
      </c>
      <c r="B2" s="45" t="s">
        <v>242</v>
      </c>
      <c r="C2" s="45" t="s">
        <v>243</v>
      </c>
      <c r="D2" s="45" t="s">
        <v>56</v>
      </c>
      <c r="E2" s="45" t="s">
        <v>244</v>
      </c>
      <c r="F2" s="45" t="s">
        <v>245</v>
      </c>
      <c r="G2" s="45" t="s">
        <v>60</v>
      </c>
      <c r="H2" s="45" t="s">
        <v>246</v>
      </c>
      <c r="I2" s="45" t="s">
        <v>247</v>
      </c>
    </row>
    <row r="3" spans="1:9" x14ac:dyDescent="0.25">
      <c r="A3" s="46" t="s">
        <v>10</v>
      </c>
      <c r="B3" s="35" t="s">
        <v>10</v>
      </c>
      <c r="C3" s="41" t="s">
        <v>5</v>
      </c>
      <c r="D3" s="35" t="s">
        <v>63</v>
      </c>
      <c r="E3" s="27" t="s">
        <v>64</v>
      </c>
      <c r="F3" s="35" t="s">
        <v>65</v>
      </c>
      <c r="G3" s="24" t="s">
        <v>66</v>
      </c>
      <c r="H3" s="37" t="s">
        <v>248</v>
      </c>
      <c r="I3" s="37" t="s">
        <v>67</v>
      </c>
    </row>
    <row r="4" spans="1:9" x14ac:dyDescent="0.25">
      <c r="A4" s="46" t="s">
        <v>10</v>
      </c>
      <c r="B4" s="35" t="s">
        <v>10</v>
      </c>
      <c r="C4" s="41" t="s">
        <v>5</v>
      </c>
      <c r="D4" s="35" t="s">
        <v>63</v>
      </c>
      <c r="E4" s="27" t="s">
        <v>64</v>
      </c>
      <c r="F4" s="35" t="s">
        <v>68</v>
      </c>
      <c r="G4" s="21" t="s">
        <v>69</v>
      </c>
      <c r="H4" s="37" t="s">
        <v>249</v>
      </c>
      <c r="I4" s="37" t="s">
        <v>70</v>
      </c>
    </row>
    <row r="5" spans="1:9" x14ac:dyDescent="0.25">
      <c r="A5" s="46" t="s">
        <v>10</v>
      </c>
      <c r="B5" s="35" t="s">
        <v>10</v>
      </c>
      <c r="C5" s="41" t="s">
        <v>5</v>
      </c>
      <c r="D5" s="35" t="s">
        <v>63</v>
      </c>
      <c r="E5" s="27" t="s">
        <v>64</v>
      </c>
      <c r="F5" s="35" t="s">
        <v>71</v>
      </c>
      <c r="G5" s="24" t="s">
        <v>66</v>
      </c>
      <c r="H5" s="37" t="s">
        <v>250</v>
      </c>
      <c r="I5" s="37" t="s">
        <v>72</v>
      </c>
    </row>
    <row r="6" spans="1:9" x14ac:dyDescent="0.25">
      <c r="A6" s="46" t="s">
        <v>10</v>
      </c>
      <c r="B6" s="35" t="s">
        <v>10</v>
      </c>
      <c r="C6" s="41" t="s">
        <v>5</v>
      </c>
      <c r="D6" s="35" t="s">
        <v>63</v>
      </c>
      <c r="E6" s="27" t="s">
        <v>73</v>
      </c>
      <c r="F6" s="35" t="s">
        <v>74</v>
      </c>
      <c r="G6" s="24" t="s">
        <v>66</v>
      </c>
      <c r="H6" s="37" t="s">
        <v>248</v>
      </c>
      <c r="I6" s="37" t="s">
        <v>67</v>
      </c>
    </row>
    <row r="7" spans="1:9" x14ac:dyDescent="0.25">
      <c r="A7" s="46" t="s">
        <v>10</v>
      </c>
      <c r="B7" s="35" t="s">
        <v>10</v>
      </c>
      <c r="C7" s="41" t="s">
        <v>5</v>
      </c>
      <c r="D7" s="35" t="s">
        <v>63</v>
      </c>
      <c r="E7" s="27" t="s">
        <v>73</v>
      </c>
      <c r="F7" s="35" t="s">
        <v>75</v>
      </c>
      <c r="G7" s="21" t="s">
        <v>66</v>
      </c>
      <c r="H7" s="22" t="s">
        <v>249</v>
      </c>
      <c r="I7" s="22" t="s">
        <v>70</v>
      </c>
    </row>
    <row r="8" spans="1:9" x14ac:dyDescent="0.25">
      <c r="A8" s="46" t="s">
        <v>10</v>
      </c>
      <c r="B8" s="35" t="s">
        <v>10</v>
      </c>
      <c r="C8" s="41" t="s">
        <v>5</v>
      </c>
      <c r="D8" s="35" t="s">
        <v>63</v>
      </c>
      <c r="E8" s="27" t="s">
        <v>73</v>
      </c>
      <c r="F8" s="35" t="s">
        <v>76</v>
      </c>
      <c r="G8" s="21" t="s">
        <v>66</v>
      </c>
      <c r="H8" s="37" t="s">
        <v>250</v>
      </c>
      <c r="I8" s="37" t="s">
        <v>72</v>
      </c>
    </row>
    <row r="9" spans="1:9" ht="24" customHeight="1" x14ac:dyDescent="0.25">
      <c r="A9" s="46" t="s">
        <v>10</v>
      </c>
      <c r="B9" s="35" t="s">
        <v>10</v>
      </c>
      <c r="C9" s="41" t="s">
        <v>5</v>
      </c>
      <c r="D9" s="35" t="s">
        <v>77</v>
      </c>
      <c r="E9" s="27"/>
      <c r="F9" s="35" t="s">
        <v>79</v>
      </c>
      <c r="G9" s="24" t="s">
        <v>66</v>
      </c>
      <c r="H9" s="22" t="s">
        <v>248</v>
      </c>
      <c r="I9" s="22" t="s">
        <v>67</v>
      </c>
    </row>
    <row r="10" spans="1:9" x14ac:dyDescent="0.25">
      <c r="A10" s="46" t="s">
        <v>10</v>
      </c>
      <c r="B10" s="35" t="s">
        <v>10</v>
      </c>
      <c r="C10" s="41" t="s">
        <v>5</v>
      </c>
      <c r="D10" s="35" t="s">
        <v>77</v>
      </c>
      <c r="E10" s="27"/>
      <c r="F10" s="35" t="s">
        <v>80</v>
      </c>
      <c r="G10" s="24" t="s">
        <v>69</v>
      </c>
      <c r="H10" s="37" t="s">
        <v>249</v>
      </c>
      <c r="I10" s="37" t="s">
        <v>70</v>
      </c>
    </row>
    <row r="11" spans="1:9" x14ac:dyDescent="0.25">
      <c r="A11" s="46" t="s">
        <v>10</v>
      </c>
      <c r="B11" s="35" t="s">
        <v>10</v>
      </c>
      <c r="C11" s="41" t="s">
        <v>5</v>
      </c>
      <c r="D11" s="35" t="s">
        <v>77</v>
      </c>
      <c r="E11" s="27"/>
      <c r="F11" s="35" t="s">
        <v>81</v>
      </c>
      <c r="G11" s="24" t="s">
        <v>66</v>
      </c>
      <c r="H11" s="37" t="s">
        <v>250</v>
      </c>
      <c r="I11" s="37" t="s">
        <v>72</v>
      </c>
    </row>
    <row r="12" spans="1:9" x14ac:dyDescent="0.25">
      <c r="A12" s="46" t="s">
        <v>10</v>
      </c>
      <c r="B12" s="35" t="s">
        <v>10</v>
      </c>
      <c r="C12" s="41" t="s">
        <v>5</v>
      </c>
      <c r="D12" s="35" t="s">
        <v>24</v>
      </c>
      <c r="E12" s="27"/>
      <c r="F12" s="35" t="s">
        <v>82</v>
      </c>
      <c r="G12" s="24" t="s">
        <v>66</v>
      </c>
      <c r="H12" s="37" t="s">
        <v>248</v>
      </c>
      <c r="I12" s="37" t="s">
        <v>67</v>
      </c>
    </row>
    <row r="13" spans="1:9" x14ac:dyDescent="0.25">
      <c r="A13" s="46" t="s">
        <v>10</v>
      </c>
      <c r="B13" s="35" t="s">
        <v>10</v>
      </c>
      <c r="C13" s="41" t="s">
        <v>5</v>
      </c>
      <c r="D13" s="35" t="s">
        <v>24</v>
      </c>
      <c r="E13" s="27"/>
      <c r="F13" s="35" t="s">
        <v>83</v>
      </c>
      <c r="G13" s="24" t="s">
        <v>69</v>
      </c>
      <c r="H13" s="37" t="s">
        <v>249</v>
      </c>
      <c r="I13" s="37" t="s">
        <v>70</v>
      </c>
    </row>
    <row r="14" spans="1:9" x14ac:dyDescent="0.25">
      <c r="A14" s="46" t="s">
        <v>10</v>
      </c>
      <c r="B14" s="35" t="s">
        <v>10</v>
      </c>
      <c r="C14" s="41" t="s">
        <v>5</v>
      </c>
      <c r="D14" s="35" t="s">
        <v>24</v>
      </c>
      <c r="E14" s="27"/>
      <c r="F14" s="35" t="s">
        <v>84</v>
      </c>
      <c r="G14" s="24" t="s">
        <v>69</v>
      </c>
      <c r="H14" s="37" t="s">
        <v>250</v>
      </c>
      <c r="I14" s="37" t="s">
        <v>72</v>
      </c>
    </row>
    <row r="15" spans="1:9" x14ac:dyDescent="0.25">
      <c r="A15" s="46" t="s">
        <v>10</v>
      </c>
      <c r="B15" s="35" t="s">
        <v>10</v>
      </c>
      <c r="C15" s="41" t="s">
        <v>5</v>
      </c>
      <c r="D15" s="35" t="s">
        <v>26</v>
      </c>
      <c r="E15" s="27" t="s">
        <v>64</v>
      </c>
      <c r="F15" s="35" t="s">
        <v>85</v>
      </c>
      <c r="G15" s="21" t="s">
        <v>66</v>
      </c>
      <c r="H15" s="37" t="s">
        <v>248</v>
      </c>
      <c r="I15" s="37" t="s">
        <v>67</v>
      </c>
    </row>
    <row r="16" spans="1:9" x14ac:dyDescent="0.25">
      <c r="A16" s="46" t="s">
        <v>10</v>
      </c>
      <c r="B16" s="35" t="s">
        <v>10</v>
      </c>
      <c r="C16" s="41" t="s">
        <v>5</v>
      </c>
      <c r="D16" s="35" t="s">
        <v>26</v>
      </c>
      <c r="E16" s="27" t="s">
        <v>64</v>
      </c>
      <c r="F16" s="35" t="s">
        <v>86</v>
      </c>
      <c r="G16" s="21" t="s">
        <v>66</v>
      </c>
      <c r="H16" s="37" t="s">
        <v>249</v>
      </c>
      <c r="I16" s="37" t="s">
        <v>70</v>
      </c>
    </row>
    <row r="17" spans="1:9" x14ac:dyDescent="0.25">
      <c r="A17" s="46" t="s">
        <v>10</v>
      </c>
      <c r="B17" s="35" t="s">
        <v>10</v>
      </c>
      <c r="C17" s="41" t="s">
        <v>5</v>
      </c>
      <c r="D17" s="35" t="s">
        <v>26</v>
      </c>
      <c r="E17" s="27" t="s">
        <v>64</v>
      </c>
      <c r="F17" s="35" t="s">
        <v>87</v>
      </c>
      <c r="G17" s="21" t="s">
        <v>66</v>
      </c>
      <c r="H17" s="37" t="s">
        <v>250</v>
      </c>
      <c r="I17" s="37" t="s">
        <v>72</v>
      </c>
    </row>
    <row r="18" spans="1:9" x14ac:dyDescent="0.25">
      <c r="A18" s="46" t="s">
        <v>10</v>
      </c>
      <c r="B18" s="35" t="s">
        <v>10</v>
      </c>
      <c r="C18" s="41" t="s">
        <v>5</v>
      </c>
      <c r="D18" s="35" t="s">
        <v>26</v>
      </c>
      <c r="E18" s="27" t="s">
        <v>73</v>
      </c>
      <c r="F18" s="35" t="s">
        <v>88</v>
      </c>
      <c r="G18" s="21" t="s">
        <v>66</v>
      </c>
      <c r="H18" s="37" t="s">
        <v>248</v>
      </c>
      <c r="I18" s="37" t="s">
        <v>67</v>
      </c>
    </row>
    <row r="19" spans="1:9" x14ac:dyDescent="0.25">
      <c r="A19" s="46" t="s">
        <v>10</v>
      </c>
      <c r="B19" s="35" t="s">
        <v>10</v>
      </c>
      <c r="C19" s="41" t="s">
        <v>5</v>
      </c>
      <c r="D19" s="35" t="s">
        <v>26</v>
      </c>
      <c r="E19" s="27" t="s">
        <v>73</v>
      </c>
      <c r="F19" s="35" t="s">
        <v>89</v>
      </c>
      <c r="G19" s="24" t="s">
        <v>66</v>
      </c>
      <c r="H19" s="37" t="s">
        <v>249</v>
      </c>
      <c r="I19" s="37" t="s">
        <v>70</v>
      </c>
    </row>
    <row r="20" spans="1:9" x14ac:dyDescent="0.25">
      <c r="A20" s="46" t="s">
        <v>10</v>
      </c>
      <c r="B20" s="35" t="s">
        <v>10</v>
      </c>
      <c r="C20" s="41" t="s">
        <v>5</v>
      </c>
      <c r="D20" s="35" t="s">
        <v>26</v>
      </c>
      <c r="E20" s="27" t="s">
        <v>73</v>
      </c>
      <c r="F20" s="35" t="s">
        <v>90</v>
      </c>
      <c r="G20" s="21" t="s">
        <v>66</v>
      </c>
      <c r="H20" s="37" t="s">
        <v>250</v>
      </c>
      <c r="I20" s="37" t="s">
        <v>72</v>
      </c>
    </row>
    <row r="21" spans="1:9" x14ac:dyDescent="0.25">
      <c r="A21" s="46" t="s">
        <v>11</v>
      </c>
      <c r="B21" s="35" t="s">
        <v>11</v>
      </c>
      <c r="C21" s="41" t="s">
        <v>5</v>
      </c>
      <c r="D21" s="35" t="s">
        <v>179</v>
      </c>
      <c r="E21" s="27"/>
      <c r="F21" s="35" t="s">
        <v>180</v>
      </c>
      <c r="G21" s="21" t="s">
        <v>66</v>
      </c>
      <c r="H21" s="37" t="s">
        <v>248</v>
      </c>
      <c r="I21" s="37" t="s">
        <v>67</v>
      </c>
    </row>
    <row r="22" spans="1:9" x14ac:dyDescent="0.25">
      <c r="A22" s="46" t="s">
        <v>11</v>
      </c>
      <c r="B22" s="35" t="s">
        <v>11</v>
      </c>
      <c r="C22" s="41" t="s">
        <v>5</v>
      </c>
      <c r="D22" s="35" t="s">
        <v>179</v>
      </c>
      <c r="E22" s="27"/>
      <c r="F22" s="35" t="s">
        <v>181</v>
      </c>
      <c r="G22" s="21" t="s">
        <v>66</v>
      </c>
      <c r="H22" s="37" t="s">
        <v>249</v>
      </c>
      <c r="I22" s="37" t="s">
        <v>70</v>
      </c>
    </row>
    <row r="23" spans="1:9" x14ac:dyDescent="0.25">
      <c r="A23" s="46" t="s">
        <v>11</v>
      </c>
      <c r="B23" s="35" t="s">
        <v>11</v>
      </c>
      <c r="C23" s="44" t="s">
        <v>5</v>
      </c>
      <c r="D23" s="35" t="s">
        <v>179</v>
      </c>
      <c r="E23" s="27"/>
      <c r="F23" s="35" t="s">
        <v>182</v>
      </c>
      <c r="G23" s="21" t="s">
        <v>66</v>
      </c>
      <c r="H23" s="22" t="s">
        <v>250</v>
      </c>
      <c r="I23" s="22" t="s">
        <v>72</v>
      </c>
    </row>
    <row r="24" spans="1:9" x14ac:dyDescent="0.25">
      <c r="A24" s="46" t="s">
        <v>10</v>
      </c>
      <c r="B24" s="35" t="s">
        <v>10</v>
      </c>
      <c r="C24" s="44" t="s">
        <v>251</v>
      </c>
      <c r="D24" s="35" t="s">
        <v>92</v>
      </c>
      <c r="E24" s="27"/>
      <c r="F24" s="35" t="s">
        <v>93</v>
      </c>
      <c r="G24" s="21" t="s">
        <v>66</v>
      </c>
      <c r="H24" s="22" t="s">
        <v>248</v>
      </c>
      <c r="I24" s="22" t="s">
        <v>67</v>
      </c>
    </row>
    <row r="25" spans="1:9" x14ac:dyDescent="0.25">
      <c r="A25" s="46" t="s">
        <v>10</v>
      </c>
      <c r="B25" s="35" t="s">
        <v>10</v>
      </c>
      <c r="C25" s="44" t="s">
        <v>251</v>
      </c>
      <c r="D25" s="35" t="s">
        <v>92</v>
      </c>
      <c r="E25" s="27"/>
      <c r="F25" s="35" t="s">
        <v>94</v>
      </c>
      <c r="G25" s="21" t="s">
        <v>66</v>
      </c>
      <c r="H25" s="22" t="s">
        <v>249</v>
      </c>
      <c r="I25" s="22" t="s">
        <v>70</v>
      </c>
    </row>
    <row r="26" spans="1:9" x14ac:dyDescent="0.25">
      <c r="A26" s="46" t="s">
        <v>10</v>
      </c>
      <c r="B26" s="35" t="s">
        <v>10</v>
      </c>
      <c r="C26" s="44" t="s">
        <v>251</v>
      </c>
      <c r="D26" s="35" t="s">
        <v>92</v>
      </c>
      <c r="E26" s="27"/>
      <c r="F26" s="35" t="s">
        <v>95</v>
      </c>
      <c r="G26" s="21" t="s">
        <v>66</v>
      </c>
      <c r="H26" s="22" t="s">
        <v>249</v>
      </c>
      <c r="I26" s="22" t="s">
        <v>70</v>
      </c>
    </row>
    <row r="27" spans="1:9" ht="24" customHeight="1" x14ac:dyDescent="0.25">
      <c r="A27" s="46" t="s">
        <v>10</v>
      </c>
      <c r="B27" s="35" t="s">
        <v>10</v>
      </c>
      <c r="C27" s="44" t="s">
        <v>251</v>
      </c>
      <c r="D27" s="35" t="s">
        <v>96</v>
      </c>
      <c r="E27" s="27" t="s">
        <v>64</v>
      </c>
      <c r="F27" s="35" t="s">
        <v>97</v>
      </c>
      <c r="G27" s="21" t="s">
        <v>69</v>
      </c>
      <c r="H27" s="22" t="s">
        <v>249</v>
      </c>
      <c r="I27" s="22" t="s">
        <v>70</v>
      </c>
    </row>
    <row r="28" spans="1:9" ht="24" customHeight="1" x14ac:dyDescent="0.25">
      <c r="A28" s="46" t="s">
        <v>10</v>
      </c>
      <c r="B28" s="35" t="s">
        <v>10</v>
      </c>
      <c r="C28" s="44" t="s">
        <v>251</v>
      </c>
      <c r="D28" s="35" t="s">
        <v>96</v>
      </c>
      <c r="E28" s="27" t="s">
        <v>64</v>
      </c>
      <c r="F28" s="35" t="s">
        <v>98</v>
      </c>
      <c r="G28" s="21" t="s">
        <v>69</v>
      </c>
      <c r="H28" s="23" t="s">
        <v>249</v>
      </c>
      <c r="I28" s="23" t="s">
        <v>70</v>
      </c>
    </row>
    <row r="29" spans="1:9" ht="24" customHeight="1" x14ac:dyDescent="0.25">
      <c r="A29" s="46" t="s">
        <v>10</v>
      </c>
      <c r="B29" s="35" t="s">
        <v>10</v>
      </c>
      <c r="C29" s="44" t="s">
        <v>251</v>
      </c>
      <c r="D29" s="35" t="s">
        <v>96</v>
      </c>
      <c r="E29" s="27" t="s">
        <v>64</v>
      </c>
      <c r="F29" s="35" t="s">
        <v>99</v>
      </c>
      <c r="G29" s="21" t="s">
        <v>66</v>
      </c>
      <c r="H29" s="22" t="s">
        <v>249</v>
      </c>
      <c r="I29" s="22" t="s">
        <v>70</v>
      </c>
    </row>
    <row r="30" spans="1:9" ht="24" customHeight="1" x14ac:dyDescent="0.25">
      <c r="A30" s="46" t="s">
        <v>10</v>
      </c>
      <c r="B30" s="35" t="s">
        <v>10</v>
      </c>
      <c r="C30" s="44" t="s">
        <v>251</v>
      </c>
      <c r="D30" s="35" t="s">
        <v>96</v>
      </c>
      <c r="E30" s="27" t="s">
        <v>73</v>
      </c>
      <c r="F30" s="35" t="s">
        <v>236</v>
      </c>
      <c r="G30" s="21" t="s">
        <v>66</v>
      </c>
      <c r="H30" s="22" t="s">
        <v>249</v>
      </c>
      <c r="I30" s="22" t="s">
        <v>70</v>
      </c>
    </row>
    <row r="31" spans="1:9" ht="24" customHeight="1" x14ac:dyDescent="0.25">
      <c r="A31" s="46" t="s">
        <v>10</v>
      </c>
      <c r="B31" s="35" t="s">
        <v>10</v>
      </c>
      <c r="C31" s="44" t="s">
        <v>251</v>
      </c>
      <c r="D31" s="35" t="s">
        <v>96</v>
      </c>
      <c r="E31" s="27" t="s">
        <v>73</v>
      </c>
      <c r="F31" s="35" t="s">
        <v>252</v>
      </c>
      <c r="G31" s="21" t="s">
        <v>69</v>
      </c>
      <c r="H31" s="22" t="s">
        <v>249</v>
      </c>
      <c r="I31" s="22" t="s">
        <v>70</v>
      </c>
    </row>
    <row r="32" spans="1:9" ht="24" customHeight="1" x14ac:dyDescent="0.25">
      <c r="A32" s="46" t="s">
        <v>10</v>
      </c>
      <c r="B32" s="35" t="s">
        <v>10</v>
      </c>
      <c r="C32" s="44" t="s">
        <v>251</v>
      </c>
      <c r="D32" s="35" t="s">
        <v>96</v>
      </c>
      <c r="E32" s="27" t="s">
        <v>73</v>
      </c>
      <c r="F32" s="35" t="s">
        <v>253</v>
      </c>
      <c r="G32" s="24" t="s">
        <v>69</v>
      </c>
      <c r="H32" s="22" t="s">
        <v>249</v>
      </c>
      <c r="I32" s="22" t="s">
        <v>70</v>
      </c>
    </row>
    <row r="33" spans="1:9" x14ac:dyDescent="0.25">
      <c r="A33" s="46" t="s">
        <v>10</v>
      </c>
      <c r="B33" s="35" t="s">
        <v>10</v>
      </c>
      <c r="C33" s="44" t="s">
        <v>251</v>
      </c>
      <c r="D33" s="35" t="s">
        <v>24</v>
      </c>
      <c r="E33" s="27" t="s">
        <v>64</v>
      </c>
      <c r="F33" s="35" t="s">
        <v>100</v>
      </c>
      <c r="G33" s="21" t="s">
        <v>66</v>
      </c>
      <c r="H33" s="37" t="s">
        <v>248</v>
      </c>
      <c r="I33" s="37" t="s">
        <v>67</v>
      </c>
    </row>
    <row r="34" spans="1:9" x14ac:dyDescent="0.25">
      <c r="A34" s="46" t="s">
        <v>10</v>
      </c>
      <c r="B34" s="35" t="s">
        <v>10</v>
      </c>
      <c r="C34" s="44" t="s">
        <v>251</v>
      </c>
      <c r="D34" s="35" t="s">
        <v>24</v>
      </c>
      <c r="E34" s="27" t="s">
        <v>73</v>
      </c>
      <c r="F34" s="35" t="s">
        <v>101</v>
      </c>
      <c r="G34" s="21" t="s">
        <v>66</v>
      </c>
      <c r="H34" s="37" t="s">
        <v>248</v>
      </c>
      <c r="I34" s="37" t="s">
        <v>67</v>
      </c>
    </row>
    <row r="35" spans="1:9" x14ac:dyDescent="0.25">
      <c r="A35" s="46" t="s">
        <v>10</v>
      </c>
      <c r="B35" s="35" t="s">
        <v>10</v>
      </c>
      <c r="C35" s="44" t="s">
        <v>251</v>
      </c>
      <c r="D35" s="35" t="s">
        <v>24</v>
      </c>
      <c r="E35" s="27" t="s">
        <v>102</v>
      </c>
      <c r="F35" s="35" t="s">
        <v>103</v>
      </c>
      <c r="G35" s="24" t="s">
        <v>69</v>
      </c>
      <c r="H35" s="37" t="s">
        <v>248</v>
      </c>
      <c r="I35" s="37" t="s">
        <v>67</v>
      </c>
    </row>
    <row r="36" spans="1:9" x14ac:dyDescent="0.25">
      <c r="A36" s="46" t="s">
        <v>10</v>
      </c>
      <c r="B36" s="35" t="s">
        <v>10</v>
      </c>
      <c r="C36" s="44" t="s">
        <v>251</v>
      </c>
      <c r="D36" s="35" t="s">
        <v>24</v>
      </c>
      <c r="E36" s="27" t="s">
        <v>104</v>
      </c>
      <c r="F36" s="35" t="s">
        <v>105</v>
      </c>
      <c r="G36" s="21" t="s">
        <v>66</v>
      </c>
      <c r="H36" s="37" t="s">
        <v>249</v>
      </c>
      <c r="I36" s="37" t="s">
        <v>70</v>
      </c>
    </row>
    <row r="37" spans="1:9" x14ac:dyDescent="0.25">
      <c r="A37" s="46" t="s">
        <v>10</v>
      </c>
      <c r="B37" s="35" t="s">
        <v>10</v>
      </c>
      <c r="C37" s="44" t="s">
        <v>251</v>
      </c>
      <c r="D37" s="35" t="s">
        <v>24</v>
      </c>
      <c r="E37" s="27" t="s">
        <v>106</v>
      </c>
      <c r="F37" s="35" t="s">
        <v>107</v>
      </c>
      <c r="G37" s="21" t="s">
        <v>66</v>
      </c>
      <c r="H37" s="22" t="s">
        <v>249</v>
      </c>
      <c r="I37" s="22" t="s">
        <v>70</v>
      </c>
    </row>
    <row r="38" spans="1:9" x14ac:dyDescent="0.25">
      <c r="A38" s="46" t="s">
        <v>10</v>
      </c>
      <c r="B38" s="35" t="s">
        <v>10</v>
      </c>
      <c r="C38" s="44" t="s">
        <v>251</v>
      </c>
      <c r="D38" s="35" t="s">
        <v>108</v>
      </c>
      <c r="E38" s="27"/>
      <c r="F38" s="35" t="s">
        <v>109</v>
      </c>
      <c r="G38" s="24" t="s">
        <v>66</v>
      </c>
      <c r="H38" s="37" t="s">
        <v>249</v>
      </c>
      <c r="I38" s="37" t="s">
        <v>70</v>
      </c>
    </row>
    <row r="39" spans="1:9" x14ac:dyDescent="0.25">
      <c r="A39" s="46" t="s">
        <v>10</v>
      </c>
      <c r="B39" s="35" t="s">
        <v>10</v>
      </c>
      <c r="C39" s="44" t="s">
        <v>251</v>
      </c>
      <c r="D39" s="35" t="s">
        <v>28</v>
      </c>
      <c r="E39" s="27"/>
      <c r="F39" s="35" t="s">
        <v>110</v>
      </c>
      <c r="G39" s="21" t="s">
        <v>69</v>
      </c>
      <c r="H39" s="22" t="s">
        <v>249</v>
      </c>
      <c r="I39" s="22" t="s">
        <v>70</v>
      </c>
    </row>
    <row r="40" spans="1:9" x14ac:dyDescent="0.25">
      <c r="A40" s="46" t="s">
        <v>10</v>
      </c>
      <c r="B40" s="35" t="s">
        <v>10</v>
      </c>
      <c r="C40" s="44" t="s">
        <v>251</v>
      </c>
      <c r="D40" s="35" t="s">
        <v>25</v>
      </c>
      <c r="E40" s="27" t="s">
        <v>64</v>
      </c>
      <c r="F40" s="35" t="s">
        <v>111</v>
      </c>
      <c r="G40" s="21" t="s">
        <v>69</v>
      </c>
      <c r="H40" s="37" t="s">
        <v>249</v>
      </c>
      <c r="I40" s="37" t="s">
        <v>70</v>
      </c>
    </row>
    <row r="41" spans="1:9" x14ac:dyDescent="0.25">
      <c r="A41" s="46" t="s">
        <v>10</v>
      </c>
      <c r="B41" s="35" t="s">
        <v>10</v>
      </c>
      <c r="C41" s="44" t="s">
        <v>251</v>
      </c>
      <c r="D41" s="35" t="s">
        <v>25</v>
      </c>
      <c r="E41" s="27" t="s">
        <v>73</v>
      </c>
      <c r="F41" s="35" t="s">
        <v>112</v>
      </c>
      <c r="G41" s="21" t="s">
        <v>69</v>
      </c>
      <c r="H41" s="22" t="s">
        <v>250</v>
      </c>
      <c r="I41" s="22" t="s">
        <v>72</v>
      </c>
    </row>
    <row r="42" spans="1:9" x14ac:dyDescent="0.25">
      <c r="A42" s="46" t="s">
        <v>10</v>
      </c>
      <c r="B42" s="35" t="s">
        <v>10</v>
      </c>
      <c r="C42" s="44" t="s">
        <v>251</v>
      </c>
      <c r="D42" s="35" t="s">
        <v>25</v>
      </c>
      <c r="E42" s="27" t="s">
        <v>102</v>
      </c>
      <c r="F42" s="35" t="s">
        <v>113</v>
      </c>
      <c r="G42" s="21" t="s">
        <v>66</v>
      </c>
      <c r="H42" s="22" t="s">
        <v>249</v>
      </c>
      <c r="I42" s="22" t="s">
        <v>70</v>
      </c>
    </row>
    <row r="43" spans="1:9" x14ac:dyDescent="0.25">
      <c r="A43" s="46" t="s">
        <v>10</v>
      </c>
      <c r="B43" s="35" t="s">
        <v>10</v>
      </c>
      <c r="C43" s="44" t="s">
        <v>251</v>
      </c>
      <c r="D43" s="35" t="s">
        <v>25</v>
      </c>
      <c r="E43" s="27" t="s">
        <v>104</v>
      </c>
      <c r="F43" s="35" t="s">
        <v>114</v>
      </c>
      <c r="G43" s="21" t="s">
        <v>69</v>
      </c>
      <c r="H43" s="37" t="s">
        <v>250</v>
      </c>
      <c r="I43" s="37" t="s">
        <v>72</v>
      </c>
    </row>
    <row r="44" spans="1:9" x14ac:dyDescent="0.25">
      <c r="A44" s="46" t="s">
        <v>10</v>
      </c>
      <c r="B44" s="35" t="s">
        <v>10</v>
      </c>
      <c r="C44" s="44" t="s">
        <v>251</v>
      </c>
      <c r="D44" s="35" t="s">
        <v>115</v>
      </c>
      <c r="E44" s="27" t="s">
        <v>106</v>
      </c>
      <c r="F44" s="35" t="s">
        <v>116</v>
      </c>
      <c r="G44" s="21" t="s">
        <v>66</v>
      </c>
      <c r="H44" s="37" t="s">
        <v>250</v>
      </c>
      <c r="I44" s="37" t="s">
        <v>72</v>
      </c>
    </row>
    <row r="45" spans="1:9" x14ac:dyDescent="0.25">
      <c r="A45" s="46" t="s">
        <v>10</v>
      </c>
      <c r="B45" s="35" t="s">
        <v>10</v>
      </c>
      <c r="C45" s="44" t="s">
        <v>251</v>
      </c>
      <c r="D45" s="35" t="s">
        <v>115</v>
      </c>
      <c r="E45" s="27" t="s">
        <v>117</v>
      </c>
      <c r="F45" s="35" t="s">
        <v>118</v>
      </c>
      <c r="G45" s="21" t="s">
        <v>69</v>
      </c>
      <c r="H45" s="37" t="s">
        <v>250</v>
      </c>
      <c r="I45" s="37" t="s">
        <v>72</v>
      </c>
    </row>
    <row r="46" spans="1:9" x14ac:dyDescent="0.25">
      <c r="A46" s="46" t="s">
        <v>10</v>
      </c>
      <c r="B46" s="35" t="s">
        <v>10</v>
      </c>
      <c r="C46" s="44" t="s">
        <v>251</v>
      </c>
      <c r="D46" s="35" t="s">
        <v>115</v>
      </c>
      <c r="E46" s="27" t="s">
        <v>119</v>
      </c>
      <c r="F46" s="35" t="s">
        <v>120</v>
      </c>
      <c r="G46" s="21" t="s">
        <v>69</v>
      </c>
      <c r="H46" s="22" t="s">
        <v>250</v>
      </c>
      <c r="I46" s="22" t="s">
        <v>72</v>
      </c>
    </row>
    <row r="47" spans="1:9" x14ac:dyDescent="0.25">
      <c r="A47" s="46" t="s">
        <v>10</v>
      </c>
      <c r="B47" s="35" t="s">
        <v>10</v>
      </c>
      <c r="C47" s="44" t="s">
        <v>251</v>
      </c>
      <c r="D47" s="35" t="s">
        <v>115</v>
      </c>
      <c r="E47" s="27" t="s">
        <v>121</v>
      </c>
      <c r="F47" s="35" t="s">
        <v>122</v>
      </c>
      <c r="G47" s="24" t="s">
        <v>66</v>
      </c>
      <c r="H47" s="22" t="s">
        <v>250</v>
      </c>
      <c r="I47" s="22" t="s">
        <v>72</v>
      </c>
    </row>
    <row r="48" spans="1:9" x14ac:dyDescent="0.25">
      <c r="A48" s="46" t="s">
        <v>10</v>
      </c>
      <c r="B48" s="35" t="s">
        <v>10</v>
      </c>
      <c r="C48" s="44" t="s">
        <v>251</v>
      </c>
      <c r="D48" s="35" t="s">
        <v>115</v>
      </c>
      <c r="E48" s="27" t="s">
        <v>123</v>
      </c>
      <c r="F48" s="35" t="s">
        <v>124</v>
      </c>
      <c r="G48" s="24" t="s">
        <v>69</v>
      </c>
      <c r="H48" s="23" t="s">
        <v>249</v>
      </c>
      <c r="I48" s="23" t="s">
        <v>70</v>
      </c>
    </row>
    <row r="49" spans="1:9" x14ac:dyDescent="0.25">
      <c r="A49" s="46" t="s">
        <v>10</v>
      </c>
      <c r="B49" s="35" t="s">
        <v>10</v>
      </c>
      <c r="C49" s="44" t="s">
        <v>251</v>
      </c>
      <c r="D49" s="35" t="s">
        <v>115</v>
      </c>
      <c r="E49" s="27" t="s">
        <v>125</v>
      </c>
      <c r="F49" s="35" t="s">
        <v>126</v>
      </c>
      <c r="G49" s="21" t="s">
        <v>66</v>
      </c>
      <c r="H49" s="37" t="s">
        <v>250</v>
      </c>
      <c r="I49" s="37" t="s">
        <v>72</v>
      </c>
    </row>
    <row r="50" spans="1:9" ht="24" customHeight="1" x14ac:dyDescent="0.25">
      <c r="A50" s="46" t="s">
        <v>10</v>
      </c>
      <c r="B50" s="35" t="s">
        <v>10</v>
      </c>
      <c r="C50" s="44" t="s">
        <v>251</v>
      </c>
      <c r="D50" s="35" t="s">
        <v>127</v>
      </c>
      <c r="E50" s="27" t="s">
        <v>106</v>
      </c>
      <c r="F50" s="35" t="s">
        <v>128</v>
      </c>
      <c r="G50" s="24" t="s">
        <v>69</v>
      </c>
      <c r="H50" s="37" t="s">
        <v>249</v>
      </c>
      <c r="I50" s="37" t="s">
        <v>70</v>
      </c>
    </row>
    <row r="51" spans="1:9" x14ac:dyDescent="0.25">
      <c r="A51" s="46" t="s">
        <v>10</v>
      </c>
      <c r="B51" s="35" t="s">
        <v>10</v>
      </c>
      <c r="C51" s="44" t="s">
        <v>251</v>
      </c>
      <c r="D51" s="35" t="s">
        <v>127</v>
      </c>
      <c r="E51" s="27" t="s">
        <v>117</v>
      </c>
      <c r="F51" s="35" t="s">
        <v>129</v>
      </c>
      <c r="G51" s="24" t="s">
        <v>66</v>
      </c>
      <c r="H51" s="23" t="s">
        <v>248</v>
      </c>
      <c r="I51" s="23" t="s">
        <v>67</v>
      </c>
    </row>
    <row r="52" spans="1:9" ht="24" customHeight="1" x14ac:dyDescent="0.25">
      <c r="A52" s="46" t="s">
        <v>10</v>
      </c>
      <c r="B52" s="35" t="s">
        <v>10</v>
      </c>
      <c r="C52" s="44" t="s">
        <v>251</v>
      </c>
      <c r="D52" s="35" t="s">
        <v>130</v>
      </c>
      <c r="E52" s="27" t="s">
        <v>64</v>
      </c>
      <c r="F52" s="35" t="s">
        <v>131</v>
      </c>
      <c r="G52" s="21" t="s">
        <v>69</v>
      </c>
      <c r="H52" s="37" t="s">
        <v>249</v>
      </c>
      <c r="I52" s="37" t="s">
        <v>70</v>
      </c>
    </row>
    <row r="53" spans="1:9" ht="24" customHeight="1" x14ac:dyDescent="0.25">
      <c r="A53" s="46" t="s">
        <v>10</v>
      </c>
      <c r="B53" s="35" t="s">
        <v>10</v>
      </c>
      <c r="C53" s="44" t="s">
        <v>251</v>
      </c>
      <c r="D53" s="35" t="s">
        <v>130</v>
      </c>
      <c r="E53" s="27" t="s">
        <v>73</v>
      </c>
      <c r="F53" s="35" t="s">
        <v>132</v>
      </c>
      <c r="G53" s="24" t="s">
        <v>69</v>
      </c>
      <c r="H53" s="23" t="s">
        <v>249</v>
      </c>
      <c r="I53" s="23" t="s">
        <v>70</v>
      </c>
    </row>
    <row r="54" spans="1:9" x14ac:dyDescent="0.25">
      <c r="A54" s="46" t="s">
        <v>10</v>
      </c>
      <c r="B54" s="35" t="s">
        <v>10</v>
      </c>
      <c r="C54" s="44" t="s">
        <v>251</v>
      </c>
      <c r="D54" s="35" t="s">
        <v>130</v>
      </c>
      <c r="E54" s="27" t="s">
        <v>102</v>
      </c>
      <c r="F54" s="35" t="s">
        <v>133</v>
      </c>
      <c r="G54" s="24" t="s">
        <v>66</v>
      </c>
      <c r="H54" s="23" t="s">
        <v>249</v>
      </c>
      <c r="I54" s="23" t="s">
        <v>70</v>
      </c>
    </row>
    <row r="55" spans="1:9" x14ac:dyDescent="0.25">
      <c r="A55" s="46" t="s">
        <v>10</v>
      </c>
      <c r="B55" s="35" t="s">
        <v>10</v>
      </c>
      <c r="C55" s="44" t="s">
        <v>251</v>
      </c>
      <c r="D55" s="35" t="s">
        <v>134</v>
      </c>
      <c r="E55" s="27" t="s">
        <v>64</v>
      </c>
      <c r="F55" s="35" t="s">
        <v>135</v>
      </c>
      <c r="G55" s="21" t="s">
        <v>66</v>
      </c>
      <c r="H55" s="23" t="s">
        <v>248</v>
      </c>
      <c r="I55" s="23" t="s">
        <v>67</v>
      </c>
    </row>
    <row r="56" spans="1:9" x14ac:dyDescent="0.25">
      <c r="A56" s="46" t="s">
        <v>10</v>
      </c>
      <c r="B56" s="35" t="s">
        <v>10</v>
      </c>
      <c r="C56" s="44" t="s">
        <v>251</v>
      </c>
      <c r="D56" s="35" t="s">
        <v>134</v>
      </c>
      <c r="E56" s="27" t="s">
        <v>73</v>
      </c>
      <c r="F56" s="35" t="s">
        <v>136</v>
      </c>
      <c r="G56" s="24" t="s">
        <v>66</v>
      </c>
      <c r="H56" s="23" t="s">
        <v>249</v>
      </c>
      <c r="I56" s="23" t="s">
        <v>70</v>
      </c>
    </row>
    <row r="57" spans="1:9" x14ac:dyDescent="0.25">
      <c r="A57" s="46" t="s">
        <v>10</v>
      </c>
      <c r="B57" s="35" t="s">
        <v>10</v>
      </c>
      <c r="C57" s="44" t="s">
        <v>251</v>
      </c>
      <c r="D57" s="35" t="s">
        <v>134</v>
      </c>
      <c r="E57" s="27" t="s">
        <v>102</v>
      </c>
      <c r="F57" s="35" t="s">
        <v>137</v>
      </c>
      <c r="G57" s="24" t="s">
        <v>66</v>
      </c>
      <c r="H57" s="23" t="s">
        <v>248</v>
      </c>
      <c r="I57" s="23" t="s">
        <v>67</v>
      </c>
    </row>
    <row r="58" spans="1:9" x14ac:dyDescent="0.25">
      <c r="A58" s="46" t="s">
        <v>10</v>
      </c>
      <c r="B58" s="35" t="s">
        <v>10</v>
      </c>
      <c r="C58" s="44" t="s">
        <v>251</v>
      </c>
      <c r="D58" s="35" t="s">
        <v>134</v>
      </c>
      <c r="E58" s="27" t="s">
        <v>104</v>
      </c>
      <c r="F58" s="35" t="s">
        <v>138</v>
      </c>
      <c r="G58" s="21" t="s">
        <v>69</v>
      </c>
      <c r="H58" s="23" t="s">
        <v>249</v>
      </c>
      <c r="I58" s="23" t="s">
        <v>70</v>
      </c>
    </row>
    <row r="59" spans="1:9" x14ac:dyDescent="0.25">
      <c r="A59" s="46" t="s">
        <v>10</v>
      </c>
      <c r="B59" s="35" t="s">
        <v>10</v>
      </c>
      <c r="C59" s="44" t="s">
        <v>251</v>
      </c>
      <c r="D59" s="35" t="s">
        <v>139</v>
      </c>
      <c r="E59" s="27" t="s">
        <v>64</v>
      </c>
      <c r="F59" s="35" t="s">
        <v>140</v>
      </c>
      <c r="G59" s="24" t="s">
        <v>66</v>
      </c>
      <c r="H59" s="37" t="s">
        <v>249</v>
      </c>
      <c r="I59" s="37" t="s">
        <v>70</v>
      </c>
    </row>
    <row r="60" spans="1:9" x14ac:dyDescent="0.25">
      <c r="A60" s="46" t="s">
        <v>10</v>
      </c>
      <c r="B60" s="35" t="s">
        <v>10</v>
      </c>
      <c r="C60" s="44" t="s">
        <v>251</v>
      </c>
      <c r="D60" s="35" t="s">
        <v>139</v>
      </c>
      <c r="E60" s="27" t="s">
        <v>73</v>
      </c>
      <c r="F60" s="35" t="s">
        <v>141</v>
      </c>
      <c r="G60" s="21" t="s">
        <v>66</v>
      </c>
      <c r="H60" s="23" t="s">
        <v>248</v>
      </c>
      <c r="I60" s="23" t="s">
        <v>67</v>
      </c>
    </row>
    <row r="61" spans="1:9" x14ac:dyDescent="0.25">
      <c r="A61" s="46" t="s">
        <v>10</v>
      </c>
      <c r="B61" s="35" t="s">
        <v>10</v>
      </c>
      <c r="C61" s="44" t="s">
        <v>251</v>
      </c>
      <c r="D61" s="35" t="s">
        <v>139</v>
      </c>
      <c r="E61" s="27" t="s">
        <v>102</v>
      </c>
      <c r="F61" s="35" t="s">
        <v>142</v>
      </c>
      <c r="G61" s="21" t="s">
        <v>69</v>
      </c>
      <c r="H61" s="23" t="s">
        <v>248</v>
      </c>
      <c r="I61" s="23" t="s">
        <v>67</v>
      </c>
    </row>
    <row r="62" spans="1:9" x14ac:dyDescent="0.25">
      <c r="A62" s="46" t="s">
        <v>10</v>
      </c>
      <c r="B62" s="35" t="s">
        <v>10</v>
      </c>
      <c r="C62" s="44" t="s">
        <v>251</v>
      </c>
      <c r="D62" s="35" t="s">
        <v>139</v>
      </c>
      <c r="E62" s="27" t="s">
        <v>104</v>
      </c>
      <c r="F62" s="35" t="s">
        <v>143</v>
      </c>
      <c r="G62" s="21" t="s">
        <v>69</v>
      </c>
      <c r="H62" s="22" t="s">
        <v>250</v>
      </c>
      <c r="I62" s="22" t="s">
        <v>72</v>
      </c>
    </row>
    <row r="63" spans="1:9" x14ac:dyDescent="0.25">
      <c r="A63" s="46" t="s">
        <v>10</v>
      </c>
      <c r="B63" s="35" t="s">
        <v>10</v>
      </c>
      <c r="C63" s="44" t="s">
        <v>251</v>
      </c>
      <c r="D63" s="35" t="s">
        <v>237</v>
      </c>
      <c r="E63" s="27"/>
      <c r="F63" s="35" t="s">
        <v>145</v>
      </c>
      <c r="G63" s="21" t="s">
        <v>66</v>
      </c>
      <c r="H63" s="37" t="s">
        <v>249</v>
      </c>
      <c r="I63" s="37" t="s">
        <v>70</v>
      </c>
    </row>
    <row r="64" spans="1:9" x14ac:dyDescent="0.25">
      <c r="A64" s="46" t="s">
        <v>10</v>
      </c>
      <c r="B64" s="35" t="s">
        <v>10</v>
      </c>
      <c r="C64" s="44" t="s">
        <v>251</v>
      </c>
      <c r="D64" s="35" t="s">
        <v>147</v>
      </c>
      <c r="E64" s="27"/>
      <c r="F64" s="35" t="s">
        <v>148</v>
      </c>
      <c r="G64" s="21" t="s">
        <v>66</v>
      </c>
      <c r="H64" s="22" t="s">
        <v>250</v>
      </c>
      <c r="I64" s="22" t="s">
        <v>72</v>
      </c>
    </row>
    <row r="65" spans="1:9" x14ac:dyDescent="0.25">
      <c r="A65" s="46" t="s">
        <v>10</v>
      </c>
      <c r="B65" s="35" t="s">
        <v>10</v>
      </c>
      <c r="C65" s="44" t="s">
        <v>251</v>
      </c>
      <c r="D65" s="35" t="s">
        <v>149</v>
      </c>
      <c r="E65" s="27" t="s">
        <v>106</v>
      </c>
      <c r="F65" s="35" t="s">
        <v>150</v>
      </c>
      <c r="G65" s="24" t="s">
        <v>69</v>
      </c>
      <c r="H65" s="37" t="s">
        <v>248</v>
      </c>
      <c r="I65" s="37" t="s">
        <v>67</v>
      </c>
    </row>
    <row r="66" spans="1:9" x14ac:dyDescent="0.25">
      <c r="A66" s="46" t="s">
        <v>10</v>
      </c>
      <c r="B66" s="35" t="s">
        <v>10</v>
      </c>
      <c r="C66" s="44" t="s">
        <v>251</v>
      </c>
      <c r="D66" s="35" t="s">
        <v>149</v>
      </c>
      <c r="E66" s="27" t="s">
        <v>121</v>
      </c>
      <c r="F66" s="35" t="s">
        <v>151</v>
      </c>
      <c r="G66" s="24" t="s">
        <v>69</v>
      </c>
      <c r="H66" s="37" t="s">
        <v>249</v>
      </c>
      <c r="I66" s="37" t="s">
        <v>70</v>
      </c>
    </row>
    <row r="67" spans="1:9" x14ac:dyDescent="0.25">
      <c r="A67" s="46" t="s">
        <v>10</v>
      </c>
      <c r="B67" s="35" t="s">
        <v>10</v>
      </c>
      <c r="C67" s="44" t="s">
        <v>251</v>
      </c>
      <c r="D67" s="35" t="s">
        <v>152</v>
      </c>
      <c r="E67" s="27" t="s">
        <v>102</v>
      </c>
      <c r="F67" s="35" t="s">
        <v>153</v>
      </c>
      <c r="G67" s="21" t="s">
        <v>69</v>
      </c>
      <c r="H67" s="22" t="s">
        <v>249</v>
      </c>
      <c r="I67" s="22" t="s">
        <v>70</v>
      </c>
    </row>
    <row r="68" spans="1:9" x14ac:dyDescent="0.25">
      <c r="A68" s="46" t="s">
        <v>10</v>
      </c>
      <c r="B68" s="35" t="s">
        <v>10</v>
      </c>
      <c r="C68" s="44" t="s">
        <v>251</v>
      </c>
      <c r="D68" s="35" t="s">
        <v>152</v>
      </c>
      <c r="E68" s="27" t="s">
        <v>104</v>
      </c>
      <c r="F68" s="35" t="s">
        <v>154</v>
      </c>
      <c r="G68" s="24" t="s">
        <v>66</v>
      </c>
      <c r="H68" s="37" t="s">
        <v>248</v>
      </c>
      <c r="I68" s="37" t="s">
        <v>67</v>
      </c>
    </row>
    <row r="69" spans="1:9" x14ac:dyDescent="0.25">
      <c r="A69" s="46" t="s">
        <v>10</v>
      </c>
      <c r="B69" s="35" t="s">
        <v>10</v>
      </c>
      <c r="C69" s="44" t="s">
        <v>251</v>
      </c>
      <c r="D69" s="35" t="s">
        <v>155</v>
      </c>
      <c r="E69" s="27" t="s">
        <v>64</v>
      </c>
      <c r="F69" s="35" t="s">
        <v>156</v>
      </c>
      <c r="G69" s="24" t="s">
        <v>66</v>
      </c>
      <c r="H69" s="37" t="s">
        <v>249</v>
      </c>
      <c r="I69" s="37" t="s">
        <v>70</v>
      </c>
    </row>
    <row r="70" spans="1:9" x14ac:dyDescent="0.25">
      <c r="A70" s="46" t="s">
        <v>10</v>
      </c>
      <c r="B70" s="35" t="s">
        <v>10</v>
      </c>
      <c r="C70" s="44" t="s">
        <v>251</v>
      </c>
      <c r="D70" s="35" t="s">
        <v>155</v>
      </c>
      <c r="E70" s="27" t="s">
        <v>73</v>
      </c>
      <c r="F70" s="35" t="s">
        <v>157</v>
      </c>
      <c r="G70" s="21" t="s">
        <v>69</v>
      </c>
      <c r="H70" s="37" t="s">
        <v>249</v>
      </c>
      <c r="I70" s="37" t="s">
        <v>70</v>
      </c>
    </row>
    <row r="71" spans="1:9" x14ac:dyDescent="0.25">
      <c r="A71" s="46" t="s">
        <v>10</v>
      </c>
      <c r="B71" s="35" t="s">
        <v>10</v>
      </c>
      <c r="C71" s="44" t="s">
        <v>251</v>
      </c>
      <c r="D71" s="35" t="s">
        <v>155</v>
      </c>
      <c r="E71" s="27" t="s">
        <v>102</v>
      </c>
      <c r="F71" s="35" t="s">
        <v>158</v>
      </c>
      <c r="G71" s="24" t="s">
        <v>66</v>
      </c>
      <c r="H71" s="37" t="s">
        <v>249</v>
      </c>
      <c r="I71" s="37" t="s">
        <v>70</v>
      </c>
    </row>
    <row r="72" spans="1:9" x14ac:dyDescent="0.25">
      <c r="A72" s="46" t="s">
        <v>10</v>
      </c>
      <c r="B72" s="35" t="s">
        <v>10</v>
      </c>
      <c r="C72" s="44" t="s">
        <v>251</v>
      </c>
      <c r="D72" s="35" t="s">
        <v>159</v>
      </c>
      <c r="E72" s="27" t="s">
        <v>64</v>
      </c>
      <c r="F72" s="35" t="s">
        <v>160</v>
      </c>
      <c r="G72" s="21" t="s">
        <v>66</v>
      </c>
      <c r="H72" s="37" t="s">
        <v>249</v>
      </c>
      <c r="I72" s="37" t="s">
        <v>70</v>
      </c>
    </row>
    <row r="73" spans="1:9" x14ac:dyDescent="0.25">
      <c r="A73" s="46" t="s">
        <v>10</v>
      </c>
      <c r="B73" s="35" t="s">
        <v>10</v>
      </c>
      <c r="C73" s="44" t="s">
        <v>251</v>
      </c>
      <c r="D73" s="35" t="s">
        <v>159</v>
      </c>
      <c r="E73" s="27" t="s">
        <v>73</v>
      </c>
      <c r="F73" s="35" t="s">
        <v>161</v>
      </c>
      <c r="G73" s="21" t="s">
        <v>66</v>
      </c>
      <c r="H73" s="22" t="s">
        <v>248</v>
      </c>
      <c r="I73" s="22" t="s">
        <v>67</v>
      </c>
    </row>
    <row r="74" spans="1:9" x14ac:dyDescent="0.25">
      <c r="A74" s="46" t="s">
        <v>10</v>
      </c>
      <c r="B74" s="35" t="s">
        <v>10</v>
      </c>
      <c r="C74" s="44" t="s">
        <v>251</v>
      </c>
      <c r="D74" s="35" t="s">
        <v>159</v>
      </c>
      <c r="E74" s="27" t="s">
        <v>117</v>
      </c>
      <c r="F74" s="35" t="s">
        <v>162</v>
      </c>
      <c r="G74" s="21" t="s">
        <v>66</v>
      </c>
      <c r="H74" s="23" t="s">
        <v>249</v>
      </c>
      <c r="I74" s="23" t="s">
        <v>70</v>
      </c>
    </row>
    <row r="75" spans="1:9" x14ac:dyDescent="0.25">
      <c r="A75" s="46" t="s">
        <v>10</v>
      </c>
      <c r="B75" s="35" t="s">
        <v>254</v>
      </c>
      <c r="C75" s="43" t="s">
        <v>4</v>
      </c>
      <c r="D75" s="35" t="s">
        <v>24</v>
      </c>
      <c r="E75" s="27"/>
      <c r="F75" s="35" t="s">
        <v>165</v>
      </c>
      <c r="G75" s="24" t="s">
        <v>69</v>
      </c>
      <c r="H75" s="22" t="s">
        <v>249</v>
      </c>
      <c r="I75" s="22" t="s">
        <v>70</v>
      </c>
    </row>
    <row r="76" spans="1:9" x14ac:dyDescent="0.25">
      <c r="A76" s="46" t="s">
        <v>10</v>
      </c>
      <c r="B76" s="35" t="s">
        <v>10</v>
      </c>
      <c r="C76" s="43" t="s">
        <v>4</v>
      </c>
      <c r="D76" s="35" t="s">
        <v>24</v>
      </c>
      <c r="E76" s="27" t="s">
        <v>64</v>
      </c>
      <c r="F76" s="35" t="s">
        <v>166</v>
      </c>
      <c r="G76" s="21" t="s">
        <v>69</v>
      </c>
      <c r="H76" s="22" t="s">
        <v>249</v>
      </c>
      <c r="I76" s="22" t="s">
        <v>70</v>
      </c>
    </row>
    <row r="77" spans="1:9" x14ac:dyDescent="0.25">
      <c r="A77" s="46" t="s">
        <v>10</v>
      </c>
      <c r="B77" s="35" t="s">
        <v>167</v>
      </c>
      <c r="C77" s="43" t="s">
        <v>4</v>
      </c>
      <c r="D77" s="35" t="s">
        <v>24</v>
      </c>
      <c r="E77" s="27" t="s">
        <v>64</v>
      </c>
      <c r="F77" s="35" t="s">
        <v>168</v>
      </c>
      <c r="G77" s="21" t="s">
        <v>69</v>
      </c>
      <c r="H77" s="22" t="s">
        <v>249</v>
      </c>
      <c r="I77" s="22" t="s">
        <v>70</v>
      </c>
    </row>
    <row r="78" spans="1:9" x14ac:dyDescent="0.25">
      <c r="A78" s="46" t="s">
        <v>10</v>
      </c>
      <c r="B78" s="35" t="s">
        <v>10</v>
      </c>
      <c r="C78" s="43" t="s">
        <v>4</v>
      </c>
      <c r="D78" s="35" t="s">
        <v>24</v>
      </c>
      <c r="E78" s="27" t="s">
        <v>73</v>
      </c>
      <c r="F78" s="35" t="s">
        <v>169</v>
      </c>
      <c r="G78" s="21" t="s">
        <v>66</v>
      </c>
      <c r="H78" s="22" t="s">
        <v>249</v>
      </c>
      <c r="I78" s="22" t="s">
        <v>70</v>
      </c>
    </row>
    <row r="79" spans="1:9" x14ac:dyDescent="0.25">
      <c r="A79" s="46" t="s">
        <v>10</v>
      </c>
      <c r="B79" s="35" t="s">
        <v>167</v>
      </c>
      <c r="C79" s="43" t="s">
        <v>4</v>
      </c>
      <c r="D79" s="35" t="s">
        <v>24</v>
      </c>
      <c r="E79" s="27" t="s">
        <v>73</v>
      </c>
      <c r="F79" s="35" t="s">
        <v>170</v>
      </c>
      <c r="G79" s="24" t="s">
        <v>69</v>
      </c>
      <c r="H79" s="22" t="s">
        <v>249</v>
      </c>
      <c r="I79" s="22" t="s">
        <v>70</v>
      </c>
    </row>
    <row r="80" spans="1:9" x14ac:dyDescent="0.25">
      <c r="A80" s="46" t="s">
        <v>10</v>
      </c>
      <c r="B80" s="35" t="s">
        <v>10</v>
      </c>
      <c r="C80" s="43" t="s">
        <v>4</v>
      </c>
      <c r="D80" s="35" t="s">
        <v>24</v>
      </c>
      <c r="E80" s="27" t="s">
        <v>102</v>
      </c>
      <c r="F80" s="35" t="s">
        <v>171</v>
      </c>
      <c r="G80" s="21" t="s">
        <v>69</v>
      </c>
      <c r="H80" s="22" t="s">
        <v>249</v>
      </c>
      <c r="I80" s="22" t="s">
        <v>70</v>
      </c>
    </row>
    <row r="81" spans="1:9" x14ac:dyDescent="0.25">
      <c r="A81" s="46" t="s">
        <v>10</v>
      </c>
      <c r="B81" s="35" t="s">
        <v>172</v>
      </c>
      <c r="C81" s="43" t="s">
        <v>4</v>
      </c>
      <c r="D81" s="35" t="s">
        <v>24</v>
      </c>
      <c r="E81" s="27" t="s">
        <v>102</v>
      </c>
      <c r="F81" s="35" t="s">
        <v>173</v>
      </c>
      <c r="G81" s="21" t="s">
        <v>69</v>
      </c>
      <c r="H81" s="22" t="s">
        <v>248</v>
      </c>
      <c r="I81" s="22" t="s">
        <v>67</v>
      </c>
    </row>
    <row r="82" spans="1:9" x14ac:dyDescent="0.25">
      <c r="A82" s="46" t="s">
        <v>10</v>
      </c>
      <c r="B82" s="35" t="s">
        <v>172</v>
      </c>
      <c r="C82" s="43" t="s">
        <v>4</v>
      </c>
      <c r="D82" s="35" t="s">
        <v>25</v>
      </c>
      <c r="E82" s="27" t="s">
        <v>64</v>
      </c>
      <c r="F82" s="35" t="s">
        <v>174</v>
      </c>
      <c r="G82" s="24" t="s">
        <v>66</v>
      </c>
      <c r="H82" s="22" t="s">
        <v>248</v>
      </c>
      <c r="I82" s="22" t="s">
        <v>67</v>
      </c>
    </row>
    <row r="83" spans="1:9" x14ac:dyDescent="0.25">
      <c r="A83" s="46" t="s">
        <v>10</v>
      </c>
      <c r="B83" s="35" t="s">
        <v>172</v>
      </c>
      <c r="C83" s="43" t="s">
        <v>4</v>
      </c>
      <c r="D83" s="35" t="s">
        <v>25</v>
      </c>
      <c r="E83" s="27" t="s">
        <v>73</v>
      </c>
      <c r="F83" s="35" t="s">
        <v>175</v>
      </c>
      <c r="G83" s="21" t="s">
        <v>66</v>
      </c>
      <c r="H83" s="22" t="s">
        <v>249</v>
      </c>
      <c r="I83" s="22" t="s">
        <v>70</v>
      </c>
    </row>
    <row r="84" spans="1:9" x14ac:dyDescent="0.25">
      <c r="A84" s="46" t="s">
        <v>10</v>
      </c>
      <c r="B84" s="35" t="s">
        <v>10</v>
      </c>
      <c r="C84" s="42" t="s">
        <v>4</v>
      </c>
      <c r="D84" s="35" t="s">
        <v>26</v>
      </c>
      <c r="E84" s="27"/>
      <c r="F84" s="35" t="s">
        <v>176</v>
      </c>
      <c r="G84" s="21" t="s">
        <v>69</v>
      </c>
      <c r="H84" s="37" t="s">
        <v>249</v>
      </c>
      <c r="I84" s="37" t="s">
        <v>70</v>
      </c>
    </row>
    <row r="85" spans="1:9" x14ac:dyDescent="0.25">
      <c r="A85" s="46" t="s">
        <v>10</v>
      </c>
      <c r="B85" s="35" t="s">
        <v>172</v>
      </c>
      <c r="C85" s="42" t="s">
        <v>4</v>
      </c>
      <c r="D85" s="35" t="s">
        <v>27</v>
      </c>
      <c r="E85" s="27" t="s">
        <v>104</v>
      </c>
      <c r="F85" s="35" t="s">
        <v>177</v>
      </c>
      <c r="G85" s="21" t="s">
        <v>69</v>
      </c>
      <c r="H85" s="22" t="s">
        <v>249</v>
      </c>
      <c r="I85" s="22" t="s">
        <v>70</v>
      </c>
    </row>
    <row r="86" spans="1:9" x14ac:dyDescent="0.25">
      <c r="A86" s="46" t="s">
        <v>11</v>
      </c>
      <c r="B86" s="35" t="s">
        <v>11</v>
      </c>
      <c r="C86" s="44" t="s">
        <v>251</v>
      </c>
      <c r="D86" s="35" t="s">
        <v>24</v>
      </c>
      <c r="E86" s="27"/>
      <c r="F86" s="35" t="s">
        <v>183</v>
      </c>
      <c r="G86" s="24" t="s">
        <v>66</v>
      </c>
      <c r="H86" s="37" t="s">
        <v>248</v>
      </c>
      <c r="I86" s="37" t="s">
        <v>67</v>
      </c>
    </row>
    <row r="87" spans="1:9" x14ac:dyDescent="0.25">
      <c r="A87" s="46" t="s">
        <v>11</v>
      </c>
      <c r="B87" s="35" t="s">
        <v>11</v>
      </c>
      <c r="C87" s="44" t="s">
        <v>251</v>
      </c>
      <c r="D87" s="35" t="s">
        <v>115</v>
      </c>
      <c r="E87" s="27"/>
      <c r="F87" s="35" t="s">
        <v>184</v>
      </c>
      <c r="G87" s="21" t="s">
        <v>66</v>
      </c>
      <c r="H87" s="22" t="s">
        <v>250</v>
      </c>
      <c r="I87" s="22" t="s">
        <v>72</v>
      </c>
    </row>
    <row r="88" spans="1:9" x14ac:dyDescent="0.25">
      <c r="A88" s="46" t="s">
        <v>11</v>
      </c>
      <c r="B88" s="35" t="s">
        <v>11</v>
      </c>
      <c r="C88" s="44" t="s">
        <v>251</v>
      </c>
      <c r="D88" s="35" t="s">
        <v>134</v>
      </c>
      <c r="E88" s="27" t="s">
        <v>64</v>
      </c>
      <c r="F88" s="35" t="s">
        <v>185</v>
      </c>
      <c r="G88" s="24" t="s">
        <v>69</v>
      </c>
      <c r="H88" s="22" t="s">
        <v>248</v>
      </c>
      <c r="I88" s="22" t="s">
        <v>67</v>
      </c>
    </row>
    <row r="89" spans="1:9" x14ac:dyDescent="0.25">
      <c r="A89" s="46" t="s">
        <v>11</v>
      </c>
      <c r="B89" s="35" t="s">
        <v>11</v>
      </c>
      <c r="C89" s="44" t="s">
        <v>251</v>
      </c>
      <c r="D89" s="35" t="s">
        <v>134</v>
      </c>
      <c r="E89" s="27" t="s">
        <v>73</v>
      </c>
      <c r="F89" s="35" t="s">
        <v>186</v>
      </c>
      <c r="G89" s="21" t="s">
        <v>66</v>
      </c>
      <c r="H89" s="37" t="s">
        <v>248</v>
      </c>
      <c r="I89" s="37" t="s">
        <v>67</v>
      </c>
    </row>
    <row r="90" spans="1:9" x14ac:dyDescent="0.25">
      <c r="A90" s="46" t="s">
        <v>11</v>
      </c>
      <c r="B90" s="35" t="s">
        <v>11</v>
      </c>
      <c r="C90" s="44" t="s">
        <v>251</v>
      </c>
      <c r="D90" s="35" t="s">
        <v>134</v>
      </c>
      <c r="E90" s="27" t="s">
        <v>102</v>
      </c>
      <c r="F90" s="35" t="s">
        <v>187</v>
      </c>
      <c r="G90" s="24" t="s">
        <v>66</v>
      </c>
      <c r="H90" s="37" t="s">
        <v>248</v>
      </c>
      <c r="I90" s="37" t="s">
        <v>67</v>
      </c>
    </row>
    <row r="91" spans="1:9" x14ac:dyDescent="0.25">
      <c r="A91" s="46" t="s">
        <v>11</v>
      </c>
      <c r="B91" s="35" t="s">
        <v>11</v>
      </c>
      <c r="C91" s="44" t="s">
        <v>251</v>
      </c>
      <c r="D91" s="35" t="s">
        <v>152</v>
      </c>
      <c r="E91" s="27" t="s">
        <v>73</v>
      </c>
      <c r="F91" s="35" t="s">
        <v>188</v>
      </c>
      <c r="G91" s="21" t="s">
        <v>66</v>
      </c>
      <c r="H91" s="37" t="s">
        <v>250</v>
      </c>
      <c r="I91" s="37" t="s">
        <v>72</v>
      </c>
    </row>
    <row r="92" spans="1:9" x14ac:dyDescent="0.25">
      <c r="A92" s="46" t="s">
        <v>11</v>
      </c>
      <c r="B92" s="35" t="s">
        <v>11</v>
      </c>
      <c r="C92" s="44" t="s">
        <v>251</v>
      </c>
      <c r="D92" s="35" t="s">
        <v>159</v>
      </c>
      <c r="E92" s="27" t="s">
        <v>64</v>
      </c>
      <c r="F92" s="35" t="s">
        <v>189</v>
      </c>
      <c r="G92" s="24" t="s">
        <v>66</v>
      </c>
      <c r="H92" s="37" t="s">
        <v>248</v>
      </c>
      <c r="I92" s="37" t="s">
        <v>67</v>
      </c>
    </row>
    <row r="93" spans="1:9" x14ac:dyDescent="0.25">
      <c r="A93" s="46" t="s">
        <v>11</v>
      </c>
      <c r="B93" s="35" t="s">
        <v>11</v>
      </c>
      <c r="C93" s="42" t="s">
        <v>4</v>
      </c>
      <c r="D93" s="35" t="s">
        <v>24</v>
      </c>
      <c r="E93" s="27" t="s">
        <v>64</v>
      </c>
      <c r="F93" s="35" t="s">
        <v>192</v>
      </c>
      <c r="G93" s="21" t="s">
        <v>69</v>
      </c>
      <c r="H93" s="37" t="s">
        <v>249</v>
      </c>
      <c r="I93" s="37" t="s">
        <v>70</v>
      </c>
    </row>
    <row r="94" spans="1:9" x14ac:dyDescent="0.25">
      <c r="A94" s="46" t="s">
        <v>12</v>
      </c>
      <c r="B94" s="35" t="s">
        <v>12</v>
      </c>
      <c r="C94" s="44" t="s">
        <v>251</v>
      </c>
      <c r="D94" s="35" t="s">
        <v>24</v>
      </c>
      <c r="E94" s="27"/>
      <c r="F94" s="35" t="s">
        <v>194</v>
      </c>
      <c r="G94" s="21" t="s">
        <v>66</v>
      </c>
      <c r="H94" s="22" t="s">
        <v>248</v>
      </c>
      <c r="I94" s="22" t="s">
        <v>67</v>
      </c>
    </row>
    <row r="95" spans="1:9" x14ac:dyDescent="0.25">
      <c r="A95" s="46" t="s">
        <v>12</v>
      </c>
      <c r="B95" s="35" t="s">
        <v>12</v>
      </c>
      <c r="C95" s="44" t="s">
        <v>251</v>
      </c>
      <c r="D95" s="35" t="s">
        <v>25</v>
      </c>
      <c r="E95" s="27"/>
      <c r="F95" s="35" t="s">
        <v>195</v>
      </c>
      <c r="G95" s="21" t="s">
        <v>69</v>
      </c>
      <c r="H95" s="23" t="s">
        <v>250</v>
      </c>
      <c r="I95" s="23" t="s">
        <v>72</v>
      </c>
    </row>
    <row r="96" spans="1:9" x14ac:dyDescent="0.25">
      <c r="A96" s="46" t="s">
        <v>12</v>
      </c>
      <c r="B96" s="35" t="s">
        <v>12</v>
      </c>
      <c r="C96" s="44" t="s">
        <v>251</v>
      </c>
      <c r="D96" s="35" t="s">
        <v>134</v>
      </c>
      <c r="E96" s="27" t="s">
        <v>64</v>
      </c>
      <c r="F96" s="35" t="s">
        <v>196</v>
      </c>
      <c r="G96" s="24" t="s">
        <v>66</v>
      </c>
      <c r="H96" s="22" t="s">
        <v>248</v>
      </c>
      <c r="I96" s="22" t="s">
        <v>67</v>
      </c>
    </row>
    <row r="97" spans="1:9" x14ac:dyDescent="0.25">
      <c r="A97" s="46" t="s">
        <v>12</v>
      </c>
      <c r="B97" s="35" t="s">
        <v>12</v>
      </c>
      <c r="C97" s="44" t="s">
        <v>251</v>
      </c>
      <c r="D97" s="35" t="s">
        <v>134</v>
      </c>
      <c r="E97" s="27" t="s">
        <v>73</v>
      </c>
      <c r="F97" s="35" t="s">
        <v>197</v>
      </c>
      <c r="G97" s="21" t="s">
        <v>66</v>
      </c>
      <c r="H97" s="22" t="s">
        <v>248</v>
      </c>
      <c r="I97" s="22" t="s">
        <v>67</v>
      </c>
    </row>
    <row r="98" spans="1:9" x14ac:dyDescent="0.25">
      <c r="A98" s="46" t="s">
        <v>12</v>
      </c>
      <c r="B98" s="35" t="s">
        <v>12</v>
      </c>
      <c r="C98" s="44" t="s">
        <v>251</v>
      </c>
      <c r="D98" s="35" t="s">
        <v>159</v>
      </c>
      <c r="E98" s="27" t="s">
        <v>64</v>
      </c>
      <c r="F98" s="35" t="s">
        <v>198</v>
      </c>
      <c r="G98" s="21" t="s">
        <v>69</v>
      </c>
      <c r="H98" s="23" t="s">
        <v>248</v>
      </c>
      <c r="I98" s="23" t="s">
        <v>67</v>
      </c>
    </row>
    <row r="99" spans="1:9" x14ac:dyDescent="0.25">
      <c r="A99" s="46" t="s">
        <v>12</v>
      </c>
      <c r="B99" s="35" t="s">
        <v>12</v>
      </c>
      <c r="C99" s="44" t="s">
        <v>251</v>
      </c>
      <c r="D99" s="35" t="s">
        <v>159</v>
      </c>
      <c r="E99" s="27" t="s">
        <v>73</v>
      </c>
      <c r="F99" s="35" t="s">
        <v>199</v>
      </c>
      <c r="G99" s="21" t="s">
        <v>66</v>
      </c>
      <c r="H99" s="22" t="s">
        <v>248</v>
      </c>
      <c r="I99" s="22" t="s">
        <v>67</v>
      </c>
    </row>
    <row r="100" spans="1:9" x14ac:dyDescent="0.25">
      <c r="A100" s="46" t="s">
        <v>12</v>
      </c>
      <c r="B100" s="35" t="s">
        <v>12</v>
      </c>
      <c r="C100" s="42" t="s">
        <v>4</v>
      </c>
      <c r="D100" s="35" t="s">
        <v>24</v>
      </c>
      <c r="E100" s="27"/>
      <c r="F100" s="35" t="s">
        <v>200</v>
      </c>
      <c r="G100" s="21" t="s">
        <v>66</v>
      </c>
      <c r="H100" s="22" t="s">
        <v>249</v>
      </c>
      <c r="I100" s="22" t="s">
        <v>70</v>
      </c>
    </row>
    <row r="101" spans="1:9" x14ac:dyDescent="0.25">
      <c r="A101" s="46" t="s">
        <v>14</v>
      </c>
      <c r="B101" s="35" t="s">
        <v>14</v>
      </c>
      <c r="C101" s="44" t="s">
        <v>251</v>
      </c>
      <c r="D101" s="35" t="s">
        <v>24</v>
      </c>
      <c r="E101" s="27"/>
      <c r="F101" s="35" t="s">
        <v>202</v>
      </c>
      <c r="G101" s="24" t="s">
        <v>66</v>
      </c>
      <c r="H101" s="22" t="s">
        <v>248</v>
      </c>
      <c r="I101" s="22" t="s">
        <v>67</v>
      </c>
    </row>
    <row r="102" spans="1:9" x14ac:dyDescent="0.25">
      <c r="A102" s="46" t="s">
        <v>14</v>
      </c>
      <c r="B102" s="35" t="s">
        <v>14</v>
      </c>
      <c r="C102" s="44" t="s">
        <v>251</v>
      </c>
      <c r="D102" s="35" t="s">
        <v>203</v>
      </c>
      <c r="E102" s="27"/>
      <c r="F102" s="35" t="s">
        <v>204</v>
      </c>
      <c r="G102" s="21" t="s">
        <v>66</v>
      </c>
      <c r="H102" s="22" t="s">
        <v>249</v>
      </c>
      <c r="I102" s="22" t="s">
        <v>70</v>
      </c>
    </row>
    <row r="103" spans="1:9" x14ac:dyDescent="0.25">
      <c r="A103" s="46" t="s">
        <v>14</v>
      </c>
      <c r="B103" s="35" t="s">
        <v>14</v>
      </c>
      <c r="C103" s="44" t="s">
        <v>251</v>
      </c>
      <c r="D103" s="35" t="s">
        <v>134</v>
      </c>
      <c r="E103" s="27"/>
      <c r="F103" s="35" t="s">
        <v>205</v>
      </c>
      <c r="G103" s="21" t="s">
        <v>66</v>
      </c>
      <c r="H103" s="23" t="s">
        <v>248</v>
      </c>
      <c r="I103" s="23" t="s">
        <v>67</v>
      </c>
    </row>
    <row r="104" spans="1:9" x14ac:dyDescent="0.25">
      <c r="A104" s="46" t="s">
        <v>14</v>
      </c>
      <c r="B104" s="35" t="s">
        <v>14</v>
      </c>
      <c r="C104" s="44" t="s">
        <v>251</v>
      </c>
      <c r="D104" s="35" t="s">
        <v>159</v>
      </c>
      <c r="E104" s="27"/>
      <c r="F104" s="35" t="s">
        <v>206</v>
      </c>
      <c r="G104" s="21" t="s">
        <v>66</v>
      </c>
      <c r="H104" s="23" t="s">
        <v>248</v>
      </c>
      <c r="I104" s="23" t="s">
        <v>67</v>
      </c>
    </row>
    <row r="105" spans="1:9" x14ac:dyDescent="0.25">
      <c r="A105" s="46" t="s">
        <v>14</v>
      </c>
      <c r="B105" s="35" t="s">
        <v>14</v>
      </c>
      <c r="C105" s="42" t="s">
        <v>4</v>
      </c>
      <c r="D105" s="35" t="s">
        <v>24</v>
      </c>
      <c r="E105" s="27"/>
      <c r="F105" s="35" t="s">
        <v>207</v>
      </c>
      <c r="G105" s="21" t="s">
        <v>66</v>
      </c>
      <c r="H105" s="22" t="s">
        <v>249</v>
      </c>
      <c r="I105" s="22" t="s">
        <v>70</v>
      </c>
    </row>
    <row r="106" spans="1:9" x14ac:dyDescent="0.25">
      <c r="A106" s="46" t="s">
        <v>15</v>
      </c>
      <c r="B106" s="35" t="s">
        <v>15</v>
      </c>
      <c r="C106" s="44" t="s">
        <v>251</v>
      </c>
      <c r="D106" s="35" t="s">
        <v>24</v>
      </c>
      <c r="E106" s="27"/>
      <c r="F106" s="35" t="s">
        <v>209</v>
      </c>
      <c r="G106" s="21" t="s">
        <v>69</v>
      </c>
      <c r="H106" s="22" t="s">
        <v>249</v>
      </c>
      <c r="I106" s="22" t="s">
        <v>70</v>
      </c>
    </row>
    <row r="107" spans="1:9" x14ac:dyDescent="0.25">
      <c r="A107" s="46" t="s">
        <v>15</v>
      </c>
      <c r="B107" s="35" t="s">
        <v>15</v>
      </c>
      <c r="C107" s="44" t="s">
        <v>251</v>
      </c>
      <c r="D107" s="35" t="s">
        <v>134</v>
      </c>
      <c r="E107" s="27"/>
      <c r="F107" s="35" t="s">
        <v>210</v>
      </c>
      <c r="G107" s="24" t="s">
        <v>66</v>
      </c>
      <c r="H107" s="22" t="s">
        <v>250</v>
      </c>
      <c r="I107" s="22" t="s">
        <v>72</v>
      </c>
    </row>
    <row r="108" spans="1:9" x14ac:dyDescent="0.25">
      <c r="A108" s="46" t="s">
        <v>15</v>
      </c>
      <c r="B108" s="35" t="s">
        <v>15</v>
      </c>
      <c r="C108" s="44" t="s">
        <v>251</v>
      </c>
      <c r="D108" s="35" t="s">
        <v>159</v>
      </c>
      <c r="E108" s="27"/>
      <c r="F108" s="35" t="s">
        <v>211</v>
      </c>
      <c r="G108" s="21" t="s">
        <v>66</v>
      </c>
      <c r="H108" s="22" t="s">
        <v>248</v>
      </c>
      <c r="I108" s="22" t="s">
        <v>67</v>
      </c>
    </row>
    <row r="109" spans="1:9" x14ac:dyDescent="0.25">
      <c r="A109" s="46" t="s">
        <v>15</v>
      </c>
      <c r="B109" s="35" t="s">
        <v>15</v>
      </c>
      <c r="C109" s="42" t="s">
        <v>4</v>
      </c>
      <c r="D109" s="35" t="s">
        <v>24</v>
      </c>
      <c r="E109" s="27"/>
      <c r="F109" s="35" t="s">
        <v>212</v>
      </c>
      <c r="G109" s="21" t="s">
        <v>66</v>
      </c>
      <c r="H109" s="23" t="s">
        <v>249</v>
      </c>
      <c r="I109" s="23" t="s">
        <v>70</v>
      </c>
    </row>
    <row r="110" spans="1:9" x14ac:dyDescent="0.25">
      <c r="A110" s="46" t="s">
        <v>16</v>
      </c>
      <c r="B110" s="35" t="s">
        <v>214</v>
      </c>
      <c r="C110" s="44" t="s">
        <v>251</v>
      </c>
      <c r="D110" s="35" t="s">
        <v>24</v>
      </c>
      <c r="E110" s="27"/>
      <c r="F110" s="35" t="s">
        <v>215</v>
      </c>
      <c r="G110" s="21" t="s">
        <v>66</v>
      </c>
      <c r="H110" s="23" t="s">
        <v>248</v>
      </c>
      <c r="I110" s="23" t="s">
        <v>67</v>
      </c>
    </row>
    <row r="111" spans="1:9" x14ac:dyDescent="0.25">
      <c r="A111" s="46" t="s">
        <v>16</v>
      </c>
      <c r="B111" s="35" t="s">
        <v>214</v>
      </c>
      <c r="C111" s="44" t="s">
        <v>251</v>
      </c>
      <c r="D111" s="35" t="s">
        <v>134</v>
      </c>
      <c r="E111" s="27"/>
      <c r="F111" s="35" t="s">
        <v>216</v>
      </c>
      <c r="G111" s="21" t="s">
        <v>69</v>
      </c>
      <c r="H111" s="22" t="s">
        <v>248</v>
      </c>
      <c r="I111" s="22" t="s">
        <v>67</v>
      </c>
    </row>
    <row r="112" spans="1:9" x14ac:dyDescent="0.25">
      <c r="A112" s="46" t="s">
        <v>16</v>
      </c>
      <c r="B112" s="35" t="s">
        <v>214</v>
      </c>
      <c r="C112" s="44" t="s">
        <v>251</v>
      </c>
      <c r="D112" s="35" t="s">
        <v>159</v>
      </c>
      <c r="E112" s="27"/>
      <c r="F112" s="35" t="s">
        <v>217</v>
      </c>
      <c r="G112" s="21" t="s">
        <v>69</v>
      </c>
      <c r="H112" s="22" t="s">
        <v>248</v>
      </c>
      <c r="I112" s="22" t="s">
        <v>67</v>
      </c>
    </row>
    <row r="113" spans="1:9" x14ac:dyDescent="0.25">
      <c r="A113" s="46" t="s">
        <v>16</v>
      </c>
      <c r="B113" s="35" t="s">
        <v>214</v>
      </c>
      <c r="C113" s="42" t="s">
        <v>4</v>
      </c>
      <c r="D113" s="35" t="s">
        <v>24</v>
      </c>
      <c r="E113" s="27"/>
      <c r="F113" s="35" t="s">
        <v>218</v>
      </c>
      <c r="G113" s="24" t="s">
        <v>69</v>
      </c>
      <c r="H113" s="22" t="s">
        <v>249</v>
      </c>
      <c r="I113" s="22" t="s">
        <v>70</v>
      </c>
    </row>
    <row r="114" spans="1:9" x14ac:dyDescent="0.25">
      <c r="A114" s="46" t="s">
        <v>17</v>
      </c>
      <c r="B114" s="35" t="s">
        <v>17</v>
      </c>
      <c r="C114" s="44" t="s">
        <v>251</v>
      </c>
      <c r="D114" s="35" t="s">
        <v>24</v>
      </c>
      <c r="E114" s="27"/>
      <c r="F114" s="35" t="s">
        <v>220</v>
      </c>
      <c r="G114" s="21" t="s">
        <v>66</v>
      </c>
      <c r="H114" s="22" t="s">
        <v>249</v>
      </c>
      <c r="I114" s="22" t="s">
        <v>70</v>
      </c>
    </row>
    <row r="115" spans="1:9" x14ac:dyDescent="0.25">
      <c r="A115" s="46" t="s">
        <v>17</v>
      </c>
      <c r="B115" s="35" t="s">
        <v>17</v>
      </c>
      <c r="C115" s="44" t="s">
        <v>251</v>
      </c>
      <c r="D115" s="35" t="s">
        <v>134</v>
      </c>
      <c r="E115" s="27"/>
      <c r="F115" s="35" t="s">
        <v>221</v>
      </c>
      <c r="G115" s="21" t="s">
        <v>66</v>
      </c>
      <c r="H115" s="23" t="s">
        <v>248</v>
      </c>
      <c r="I115" s="23" t="s">
        <v>67</v>
      </c>
    </row>
    <row r="116" spans="1:9" x14ac:dyDescent="0.25">
      <c r="A116" s="46" t="s">
        <v>17</v>
      </c>
      <c r="B116" s="35" t="s">
        <v>17</v>
      </c>
      <c r="C116" s="44" t="s">
        <v>251</v>
      </c>
      <c r="D116" s="35" t="s">
        <v>159</v>
      </c>
      <c r="E116" s="27"/>
      <c r="F116" s="35" t="s">
        <v>222</v>
      </c>
      <c r="G116" s="21" t="s">
        <v>66</v>
      </c>
      <c r="H116" s="23" t="s">
        <v>248</v>
      </c>
      <c r="I116" s="23" t="s">
        <v>67</v>
      </c>
    </row>
    <row r="117" spans="1:9" x14ac:dyDescent="0.25">
      <c r="A117" s="46" t="s">
        <v>17</v>
      </c>
      <c r="B117" s="35" t="s">
        <v>17</v>
      </c>
      <c r="C117" s="42" t="s">
        <v>4</v>
      </c>
      <c r="D117" s="35" t="s">
        <v>24</v>
      </c>
      <c r="E117" s="27"/>
      <c r="F117" s="35" t="s">
        <v>223</v>
      </c>
      <c r="G117" s="21" t="s">
        <v>66</v>
      </c>
      <c r="H117" s="22" t="s">
        <v>249</v>
      </c>
      <c r="I117" s="22" t="s">
        <v>70</v>
      </c>
    </row>
    <row r="118" spans="1:9" x14ac:dyDescent="0.25">
      <c r="A118" s="46" t="s">
        <v>13</v>
      </c>
      <c r="B118" s="35" t="s">
        <v>225</v>
      </c>
      <c r="C118" s="44" t="s">
        <v>251</v>
      </c>
      <c r="D118" s="35" t="s">
        <v>24</v>
      </c>
      <c r="E118" s="27"/>
      <c r="F118" s="35" t="s">
        <v>226</v>
      </c>
      <c r="G118" s="21" t="s">
        <v>66</v>
      </c>
      <c r="H118" s="22" t="s">
        <v>249</v>
      </c>
      <c r="I118" s="22" t="s">
        <v>70</v>
      </c>
    </row>
    <row r="119" spans="1:9" x14ac:dyDescent="0.25">
      <c r="A119" s="46" t="s">
        <v>13</v>
      </c>
      <c r="B119" s="35" t="s">
        <v>225</v>
      </c>
      <c r="C119" s="44" t="s">
        <v>251</v>
      </c>
      <c r="D119" s="35" t="s">
        <v>134</v>
      </c>
      <c r="E119" s="27"/>
      <c r="F119" s="35" t="s">
        <v>227</v>
      </c>
      <c r="G119" s="24" t="s">
        <v>69</v>
      </c>
      <c r="H119" s="22" t="s">
        <v>248</v>
      </c>
      <c r="I119" s="22" t="s">
        <v>67</v>
      </c>
    </row>
    <row r="120" spans="1:9" x14ac:dyDescent="0.25">
      <c r="A120" s="46" t="s">
        <v>13</v>
      </c>
      <c r="B120" s="35" t="s">
        <v>225</v>
      </c>
      <c r="C120" s="44" t="s">
        <v>251</v>
      </c>
      <c r="D120" s="35" t="s">
        <v>159</v>
      </c>
      <c r="E120" s="27"/>
      <c r="F120" s="35" t="s">
        <v>228</v>
      </c>
      <c r="G120" s="21" t="s">
        <v>66</v>
      </c>
      <c r="H120" s="22" t="s">
        <v>250</v>
      </c>
      <c r="I120" s="22" t="s">
        <v>72</v>
      </c>
    </row>
    <row r="121" spans="1:9" x14ac:dyDescent="0.25">
      <c r="A121" s="46" t="s">
        <v>13</v>
      </c>
      <c r="B121" s="35" t="s">
        <v>225</v>
      </c>
      <c r="C121" s="42" t="s">
        <v>4</v>
      </c>
      <c r="D121" s="35" t="s">
        <v>24</v>
      </c>
      <c r="E121" s="27"/>
      <c r="F121" s="35" t="s">
        <v>229</v>
      </c>
      <c r="G121" s="21" t="s">
        <v>66</v>
      </c>
      <c r="H121" s="23" t="s">
        <v>249</v>
      </c>
      <c r="I121" s="23" t="s">
        <v>70</v>
      </c>
    </row>
    <row r="122" spans="1:9" x14ac:dyDescent="0.25">
      <c r="A122" s="46" t="s">
        <v>13</v>
      </c>
      <c r="B122" s="35" t="s">
        <v>190</v>
      </c>
      <c r="C122" s="42" t="s">
        <v>4</v>
      </c>
      <c r="D122" s="35" t="s">
        <v>24</v>
      </c>
      <c r="E122" s="27"/>
      <c r="F122" s="35" t="s">
        <v>191</v>
      </c>
      <c r="G122" s="21" t="s">
        <v>66</v>
      </c>
      <c r="H122" s="23" t="s">
        <v>249</v>
      </c>
      <c r="I122" s="23" t="s">
        <v>70</v>
      </c>
    </row>
    <row r="123" spans="1:9" x14ac:dyDescent="0.25">
      <c r="A123" s="46" t="s">
        <v>13</v>
      </c>
      <c r="B123" s="35" t="s">
        <v>230</v>
      </c>
      <c r="C123" s="42" t="s">
        <v>4</v>
      </c>
      <c r="D123" s="35" t="s">
        <v>24</v>
      </c>
      <c r="E123" s="27"/>
      <c r="F123" s="35" t="s">
        <v>231</v>
      </c>
      <c r="G123" s="21" t="s">
        <v>66</v>
      </c>
      <c r="H123" s="22" t="s">
        <v>249</v>
      </c>
      <c r="I123" s="22" t="s">
        <v>70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7"/>
  </sheetPr>
  <dimension ref="A1:P77"/>
  <sheetViews>
    <sheetView topLeftCell="A43" zoomScaleNormal="100" workbookViewId="0">
      <selection activeCell="J10" sqref="J10"/>
    </sheetView>
  </sheetViews>
  <sheetFormatPr baseColWidth="10" defaultColWidth="8.7109375" defaultRowHeight="15" x14ac:dyDescent="0.25"/>
  <cols>
    <col min="1" max="1" width="20" style="2" customWidth="1"/>
    <col min="2" max="2" width="36" style="2" bestFit="1" customWidth="1"/>
    <col min="3" max="7" width="14.140625" style="2" customWidth="1"/>
    <col min="8" max="8" width="8.7109375" style="2" customWidth="1"/>
    <col min="9" max="16384" width="8.7109375" style="2"/>
  </cols>
  <sheetData>
    <row r="1" spans="1:7" ht="27.75" customHeight="1" x14ac:dyDescent="0.25">
      <c r="A1" s="101" t="s">
        <v>255</v>
      </c>
      <c r="B1" s="83"/>
      <c r="C1" s="83"/>
      <c r="D1" s="83"/>
      <c r="E1" s="83"/>
      <c r="F1" s="83"/>
    </row>
    <row r="3" spans="1:7" ht="15" customHeight="1" x14ac:dyDescent="0.25">
      <c r="A3" s="99" t="s">
        <v>256</v>
      </c>
      <c r="B3" s="83"/>
      <c r="C3" s="83"/>
      <c r="D3" s="83"/>
      <c r="E3" s="83"/>
      <c r="F3" s="83"/>
    </row>
    <row r="4" spans="1:7" ht="25.5" customHeight="1" x14ac:dyDescent="0.25">
      <c r="A4" s="51" t="s">
        <v>58</v>
      </c>
      <c r="B4" s="51" t="s">
        <v>257</v>
      </c>
      <c r="C4" s="51" t="s">
        <v>258</v>
      </c>
      <c r="D4" s="51" t="s">
        <v>259</v>
      </c>
      <c r="E4" s="51" t="s">
        <v>260</v>
      </c>
      <c r="F4" s="51" t="s">
        <v>261</v>
      </c>
    </row>
    <row r="5" spans="1:7" x14ac:dyDescent="0.25">
      <c r="A5" s="52" t="s">
        <v>10</v>
      </c>
      <c r="B5" s="6">
        <v>40546</v>
      </c>
      <c r="C5" s="6">
        <v>40027</v>
      </c>
      <c r="D5" s="6">
        <v>43</v>
      </c>
      <c r="E5" s="8">
        <f t="shared" ref="E5:E13" si="0">IF(B5&gt;0,C5/B5,"")</f>
        <v>0.98719972377053222</v>
      </c>
      <c r="F5" s="7">
        <f t="shared" ref="F5:F13" si="1">IF(B5&gt;0,D5/B5,"")</f>
        <v>1.06052384945494E-3</v>
      </c>
    </row>
    <row r="6" spans="1:7" x14ac:dyDescent="0.25">
      <c r="A6" s="53" t="s">
        <v>11</v>
      </c>
      <c r="B6" s="6">
        <v>2895</v>
      </c>
      <c r="C6" s="6">
        <v>2824</v>
      </c>
      <c r="D6" s="6">
        <v>45</v>
      </c>
      <c r="E6" s="8">
        <f t="shared" si="0"/>
        <v>0.97547495682210705</v>
      </c>
      <c r="F6" s="7">
        <f t="shared" si="1"/>
        <v>1.5544041450777202E-2</v>
      </c>
    </row>
    <row r="7" spans="1:7" x14ac:dyDescent="0.25">
      <c r="A7" s="54" t="s">
        <v>14</v>
      </c>
      <c r="B7" s="6">
        <v>2904</v>
      </c>
      <c r="C7" s="6">
        <v>2883</v>
      </c>
      <c r="D7" s="6">
        <v>491</v>
      </c>
      <c r="E7" s="8">
        <f t="shared" si="0"/>
        <v>0.99276859504132231</v>
      </c>
      <c r="F7" s="7">
        <f t="shared" si="1"/>
        <v>0.1690771349862259</v>
      </c>
    </row>
    <row r="8" spans="1:7" x14ac:dyDescent="0.25">
      <c r="A8" s="55" t="s">
        <v>225</v>
      </c>
      <c r="B8" s="6">
        <v>2424</v>
      </c>
      <c r="C8" s="6">
        <v>2421</v>
      </c>
      <c r="D8" s="6">
        <v>63</v>
      </c>
      <c r="E8" s="8">
        <f t="shared" si="0"/>
        <v>0.99876237623762376</v>
      </c>
      <c r="F8" s="7">
        <f t="shared" si="1"/>
        <v>2.5990099009900989E-2</v>
      </c>
    </row>
    <row r="9" spans="1:7" x14ac:dyDescent="0.25">
      <c r="A9" s="56" t="s">
        <v>12</v>
      </c>
      <c r="B9" s="6">
        <v>6702</v>
      </c>
      <c r="C9" s="6">
        <v>6677</v>
      </c>
      <c r="D9" s="6">
        <v>263</v>
      </c>
      <c r="E9" s="8">
        <f t="shared" si="0"/>
        <v>0.99626977021784546</v>
      </c>
      <c r="F9" s="7">
        <f t="shared" si="1"/>
        <v>3.9242017308266187E-2</v>
      </c>
    </row>
    <row r="10" spans="1:7" x14ac:dyDescent="0.25">
      <c r="A10" s="57" t="s">
        <v>262</v>
      </c>
      <c r="B10" s="6">
        <v>2866</v>
      </c>
      <c r="C10" s="6">
        <v>2863</v>
      </c>
      <c r="D10" s="6">
        <v>267</v>
      </c>
      <c r="E10" s="8">
        <f t="shared" si="0"/>
        <v>0.99895324494068383</v>
      </c>
      <c r="F10" s="7">
        <f t="shared" si="1"/>
        <v>9.3161200279134687E-2</v>
      </c>
    </row>
    <row r="11" spans="1:7" x14ac:dyDescent="0.25">
      <c r="A11" s="58" t="s">
        <v>214</v>
      </c>
      <c r="B11" s="6">
        <v>1954</v>
      </c>
      <c r="C11" s="6">
        <v>1884</v>
      </c>
      <c r="D11" s="6">
        <v>283</v>
      </c>
      <c r="E11" s="8">
        <f t="shared" si="0"/>
        <v>0.96417604912998978</v>
      </c>
      <c r="F11" s="7">
        <f t="shared" si="1"/>
        <v>0.14483111566018425</v>
      </c>
    </row>
    <row r="12" spans="1:7" x14ac:dyDescent="0.25">
      <c r="A12" s="59" t="s">
        <v>263</v>
      </c>
      <c r="B12" s="6">
        <v>536</v>
      </c>
      <c r="C12" s="6">
        <v>522</v>
      </c>
      <c r="D12" s="6">
        <v>115</v>
      </c>
      <c r="E12" s="8">
        <f t="shared" si="0"/>
        <v>0.97388059701492535</v>
      </c>
      <c r="F12" s="7">
        <f t="shared" si="1"/>
        <v>0.21455223880597016</v>
      </c>
    </row>
    <row r="13" spans="1:7" x14ac:dyDescent="0.25">
      <c r="A13" s="60" t="s">
        <v>2</v>
      </c>
      <c r="B13" s="61">
        <f>SUM(B5:B12)</f>
        <v>60827</v>
      </c>
      <c r="C13" s="61">
        <f>SUM(C5:C12)</f>
        <v>60101</v>
      </c>
      <c r="D13" s="61">
        <f>SUM(D5:D12)</f>
        <v>1570</v>
      </c>
      <c r="E13" s="62">
        <f t="shared" si="0"/>
        <v>0.98806451082578461</v>
      </c>
      <c r="F13" s="62">
        <f t="shared" si="1"/>
        <v>2.5810906340934126E-2</v>
      </c>
    </row>
    <row r="15" spans="1:7" x14ac:dyDescent="0.25">
      <c r="A15" s="51" t="s">
        <v>264</v>
      </c>
      <c r="B15" s="51" t="s">
        <v>265</v>
      </c>
      <c r="C15" s="51" t="s">
        <v>266</v>
      </c>
      <c r="D15" s="51" t="s">
        <v>267</v>
      </c>
      <c r="E15" s="51" t="s">
        <v>268</v>
      </c>
      <c r="F15" s="51" t="s">
        <v>269</v>
      </c>
      <c r="G15" s="51" t="s">
        <v>270</v>
      </c>
    </row>
    <row r="16" spans="1:7" x14ac:dyDescent="0.25">
      <c r="A16" s="68">
        <v>2021</v>
      </c>
      <c r="B16" s="68" t="s">
        <v>271</v>
      </c>
      <c r="C16" s="68">
        <v>377</v>
      </c>
      <c r="D16" s="68">
        <v>341</v>
      </c>
      <c r="E16" s="68">
        <v>36</v>
      </c>
      <c r="F16" s="69">
        <v>0.90500000000000003</v>
      </c>
      <c r="G16" s="69">
        <v>9.5000000000000001E-2</v>
      </c>
    </row>
    <row r="17" spans="1:7" x14ac:dyDescent="0.25">
      <c r="A17" s="68">
        <v>2021</v>
      </c>
      <c r="B17" s="68" t="s">
        <v>272</v>
      </c>
      <c r="C17" s="68">
        <v>402</v>
      </c>
      <c r="D17" s="68">
        <v>376</v>
      </c>
      <c r="E17" s="68">
        <v>26</v>
      </c>
      <c r="F17" s="69">
        <v>0.93500000000000005</v>
      </c>
      <c r="G17" s="69">
        <v>6.5000000000000002E-2</v>
      </c>
    </row>
    <row r="18" spans="1:7" x14ac:dyDescent="0.25">
      <c r="A18" s="68">
        <v>2021</v>
      </c>
      <c r="B18" s="68" t="s">
        <v>273</v>
      </c>
      <c r="C18" s="68">
        <v>435</v>
      </c>
      <c r="D18" s="68">
        <v>405</v>
      </c>
      <c r="E18" s="68">
        <v>30</v>
      </c>
      <c r="F18" s="69">
        <v>0.93100000000000005</v>
      </c>
      <c r="G18" s="69">
        <v>6.9000000000000006E-2</v>
      </c>
    </row>
    <row r="19" spans="1:7" x14ac:dyDescent="0.25">
      <c r="A19" s="68">
        <v>2021</v>
      </c>
      <c r="B19" s="68" t="s">
        <v>274</v>
      </c>
      <c r="C19" s="68">
        <v>375</v>
      </c>
      <c r="D19" s="68">
        <v>346</v>
      </c>
      <c r="E19" s="68">
        <v>29</v>
      </c>
      <c r="F19" s="69">
        <v>0.92300000000000004</v>
      </c>
      <c r="G19" s="69">
        <v>7.6999999999999999E-2</v>
      </c>
    </row>
    <row r="20" spans="1:7" x14ac:dyDescent="0.25">
      <c r="A20" s="68">
        <v>2021</v>
      </c>
      <c r="B20" s="68" t="s">
        <v>275</v>
      </c>
      <c r="C20" s="68">
        <v>377</v>
      </c>
      <c r="D20" s="68">
        <v>333</v>
      </c>
      <c r="E20" s="68">
        <v>44</v>
      </c>
      <c r="F20" s="69">
        <v>0.88300000000000001</v>
      </c>
      <c r="G20" s="69">
        <v>0.11700000000000001</v>
      </c>
    </row>
    <row r="21" spans="1:7" x14ac:dyDescent="0.25">
      <c r="A21" s="68">
        <v>2021</v>
      </c>
      <c r="B21" s="68" t="s">
        <v>276</v>
      </c>
      <c r="C21" s="68">
        <v>298</v>
      </c>
      <c r="D21" s="68">
        <v>267</v>
      </c>
      <c r="E21" s="68">
        <v>31</v>
      </c>
      <c r="F21" s="69">
        <v>0.89600000000000002</v>
      </c>
      <c r="G21" s="69">
        <v>0.104</v>
      </c>
    </row>
    <row r="22" spans="1:7" ht="15" customHeight="1" x14ac:dyDescent="0.25">
      <c r="A22" s="68">
        <v>2021</v>
      </c>
      <c r="B22" s="68" t="s">
        <v>277</v>
      </c>
      <c r="C22" s="68">
        <v>490</v>
      </c>
      <c r="D22" s="68">
        <v>392</v>
      </c>
      <c r="E22" s="68">
        <v>98</v>
      </c>
      <c r="F22" s="69">
        <v>0.8</v>
      </c>
      <c r="G22" s="69">
        <v>0.2</v>
      </c>
    </row>
    <row r="23" spans="1:7" x14ac:dyDescent="0.25">
      <c r="A23" s="68">
        <v>2022</v>
      </c>
      <c r="B23" s="68" t="s">
        <v>271</v>
      </c>
      <c r="C23" s="68">
        <v>1519</v>
      </c>
      <c r="D23" s="68">
        <v>1371</v>
      </c>
      <c r="E23" s="68">
        <v>148</v>
      </c>
      <c r="F23" s="69">
        <v>0.90300000000000002</v>
      </c>
      <c r="G23" s="69">
        <v>9.7000000000000003E-2</v>
      </c>
    </row>
    <row r="24" spans="1:7" x14ac:dyDescent="0.25">
      <c r="A24" s="68">
        <v>2022</v>
      </c>
      <c r="B24" s="68" t="s">
        <v>272</v>
      </c>
      <c r="C24" s="68">
        <v>1260</v>
      </c>
      <c r="D24" s="68">
        <v>1139</v>
      </c>
      <c r="E24" s="68">
        <v>121</v>
      </c>
      <c r="F24" s="69">
        <v>0.90400000000000003</v>
      </c>
      <c r="G24" s="69">
        <v>9.6000000000000002E-2</v>
      </c>
    </row>
    <row r="25" spans="1:7" x14ac:dyDescent="0.25">
      <c r="A25" s="68">
        <v>2022</v>
      </c>
      <c r="B25" s="68" t="s">
        <v>273</v>
      </c>
      <c r="C25" s="68">
        <v>1109</v>
      </c>
      <c r="D25" s="68">
        <v>1030</v>
      </c>
      <c r="E25" s="68">
        <v>79</v>
      </c>
      <c r="F25" s="69">
        <v>0.92900000000000005</v>
      </c>
      <c r="G25" s="69">
        <v>7.0999999999999994E-2</v>
      </c>
    </row>
    <row r="26" spans="1:7" x14ac:dyDescent="0.25">
      <c r="A26" s="68">
        <v>2022</v>
      </c>
      <c r="B26" s="68" t="s">
        <v>274</v>
      </c>
      <c r="C26" s="68">
        <v>808</v>
      </c>
      <c r="D26" s="68">
        <v>733</v>
      </c>
      <c r="E26" s="68">
        <v>75</v>
      </c>
      <c r="F26" s="69">
        <v>0.90700000000000003</v>
      </c>
      <c r="G26" s="69">
        <v>9.2999999999999999E-2</v>
      </c>
    </row>
    <row r="27" spans="1:7" x14ac:dyDescent="0.25">
      <c r="A27" s="68">
        <v>2022</v>
      </c>
      <c r="B27" s="68" t="s">
        <v>275</v>
      </c>
      <c r="C27" s="68">
        <v>768</v>
      </c>
      <c r="D27" s="68">
        <v>695</v>
      </c>
      <c r="E27" s="68">
        <v>73</v>
      </c>
      <c r="F27" s="69">
        <v>0.90500000000000003</v>
      </c>
      <c r="G27" s="69">
        <v>9.5000000000000001E-2</v>
      </c>
    </row>
    <row r="28" spans="1:7" x14ac:dyDescent="0.25">
      <c r="A28" s="68">
        <v>2022</v>
      </c>
      <c r="B28" s="68" t="s">
        <v>276</v>
      </c>
      <c r="C28" s="68">
        <v>625</v>
      </c>
      <c r="D28" s="68">
        <v>579</v>
      </c>
      <c r="E28" s="68">
        <v>46</v>
      </c>
      <c r="F28" s="69">
        <v>0.92600000000000005</v>
      </c>
      <c r="G28" s="69">
        <v>7.3999999999999996E-2</v>
      </c>
    </row>
    <row r="29" spans="1:7" x14ac:dyDescent="0.25">
      <c r="A29" s="68">
        <v>2022</v>
      </c>
      <c r="B29" s="68" t="s">
        <v>277</v>
      </c>
      <c r="C29" s="68">
        <v>1651</v>
      </c>
      <c r="D29" s="68">
        <v>1456</v>
      </c>
      <c r="E29" s="68">
        <v>195</v>
      </c>
      <c r="F29" s="69">
        <v>0.88200000000000001</v>
      </c>
      <c r="G29" s="69">
        <v>0.11799999999999999</v>
      </c>
    </row>
    <row r="30" spans="1:7" x14ac:dyDescent="0.25">
      <c r="A30" s="68">
        <v>2023</v>
      </c>
      <c r="B30" s="68" t="s">
        <v>271</v>
      </c>
      <c r="C30" s="68">
        <v>1638</v>
      </c>
      <c r="D30" s="68">
        <v>1436</v>
      </c>
      <c r="E30" s="68">
        <v>202</v>
      </c>
      <c r="F30" s="69">
        <v>0.877</v>
      </c>
      <c r="G30" s="69">
        <v>0.123</v>
      </c>
    </row>
    <row r="31" spans="1:7" x14ac:dyDescent="0.25">
      <c r="A31" s="68">
        <v>2023</v>
      </c>
      <c r="B31" s="68" t="s">
        <v>272</v>
      </c>
      <c r="C31" s="68">
        <v>1462</v>
      </c>
      <c r="D31" s="68">
        <v>1284</v>
      </c>
      <c r="E31" s="68">
        <v>178</v>
      </c>
      <c r="F31" s="69">
        <v>0.878</v>
      </c>
      <c r="G31" s="69">
        <v>0.122</v>
      </c>
    </row>
    <row r="32" spans="1:7" x14ac:dyDescent="0.25">
      <c r="A32" s="68">
        <v>2023</v>
      </c>
      <c r="B32" s="68" t="s">
        <v>273</v>
      </c>
      <c r="C32" s="68">
        <v>1335</v>
      </c>
      <c r="D32" s="68">
        <v>1196</v>
      </c>
      <c r="E32" s="68">
        <v>139</v>
      </c>
      <c r="F32" s="69">
        <v>0.89600000000000002</v>
      </c>
      <c r="G32" s="69">
        <v>0.104</v>
      </c>
    </row>
    <row r="33" spans="1:7" x14ac:dyDescent="0.25">
      <c r="A33" s="68">
        <v>2023</v>
      </c>
      <c r="B33" s="68" t="s">
        <v>274</v>
      </c>
      <c r="C33" s="68">
        <v>902</v>
      </c>
      <c r="D33" s="68">
        <v>842</v>
      </c>
      <c r="E33" s="68">
        <v>60</v>
      </c>
      <c r="F33" s="69">
        <v>0.93300000000000005</v>
      </c>
      <c r="G33" s="69">
        <v>6.7000000000000004E-2</v>
      </c>
    </row>
    <row r="34" spans="1:7" x14ac:dyDescent="0.25">
      <c r="A34" s="68">
        <v>2023</v>
      </c>
      <c r="B34" s="68" t="s">
        <v>275</v>
      </c>
      <c r="C34" s="68">
        <v>957</v>
      </c>
      <c r="D34" s="68">
        <v>888</v>
      </c>
      <c r="E34" s="68">
        <v>69</v>
      </c>
      <c r="F34" s="69">
        <v>0.92800000000000005</v>
      </c>
      <c r="G34" s="69">
        <v>7.1999999999999995E-2</v>
      </c>
    </row>
    <row r="35" spans="1:7" x14ac:dyDescent="0.25">
      <c r="A35" s="68">
        <v>2023</v>
      </c>
      <c r="B35" s="68" t="s">
        <v>276</v>
      </c>
      <c r="C35" s="68">
        <v>740</v>
      </c>
      <c r="D35" s="68">
        <v>680</v>
      </c>
      <c r="E35" s="68">
        <v>60</v>
      </c>
      <c r="F35" s="69">
        <v>0.91900000000000004</v>
      </c>
      <c r="G35" s="69">
        <v>8.1000000000000003E-2</v>
      </c>
    </row>
    <row r="36" spans="1:7" x14ac:dyDescent="0.25">
      <c r="A36" s="68">
        <v>2023</v>
      </c>
      <c r="B36" s="68" t="s">
        <v>277</v>
      </c>
      <c r="C36" s="68">
        <v>1217</v>
      </c>
      <c r="D36" s="68">
        <v>1090</v>
      </c>
      <c r="E36" s="68">
        <v>127</v>
      </c>
      <c r="F36" s="69">
        <v>0.89600000000000002</v>
      </c>
      <c r="G36" s="69">
        <v>0.104</v>
      </c>
    </row>
    <row r="37" spans="1:7" x14ac:dyDescent="0.25">
      <c r="A37" s="68">
        <v>2023</v>
      </c>
      <c r="B37" s="68" t="s">
        <v>278</v>
      </c>
      <c r="C37" s="68">
        <v>152</v>
      </c>
      <c r="D37" s="68">
        <v>151</v>
      </c>
      <c r="E37" s="68">
        <v>1</v>
      </c>
      <c r="F37" s="69">
        <v>0.99299999999999999</v>
      </c>
      <c r="G37" s="69">
        <v>7.0000000000000001E-3</v>
      </c>
    </row>
    <row r="38" spans="1:7" x14ac:dyDescent="0.25">
      <c r="A38" s="68">
        <v>2024</v>
      </c>
      <c r="B38" s="68" t="s">
        <v>271</v>
      </c>
      <c r="C38" s="68">
        <v>1705</v>
      </c>
      <c r="D38" s="68">
        <v>1494</v>
      </c>
      <c r="E38" s="68">
        <v>211</v>
      </c>
      <c r="F38" s="69">
        <v>0.876</v>
      </c>
      <c r="G38" s="69">
        <v>0.124</v>
      </c>
    </row>
    <row r="39" spans="1:7" x14ac:dyDescent="0.25">
      <c r="A39" s="68">
        <v>2024</v>
      </c>
      <c r="B39" s="68" t="s">
        <v>272</v>
      </c>
      <c r="C39" s="68">
        <v>1739</v>
      </c>
      <c r="D39" s="68">
        <v>1497</v>
      </c>
      <c r="E39" s="68">
        <v>242</v>
      </c>
      <c r="F39" s="69">
        <v>0.86099999999999999</v>
      </c>
      <c r="G39" s="69">
        <v>0.13900000000000001</v>
      </c>
    </row>
    <row r="40" spans="1:7" x14ac:dyDescent="0.25">
      <c r="A40" s="68">
        <v>2024</v>
      </c>
      <c r="B40" s="68" t="s">
        <v>273</v>
      </c>
      <c r="C40" s="68">
        <v>1662</v>
      </c>
      <c r="D40" s="68">
        <v>1465</v>
      </c>
      <c r="E40" s="68">
        <v>197</v>
      </c>
      <c r="F40" s="69">
        <v>0.88100000000000001</v>
      </c>
      <c r="G40" s="69">
        <v>0.11899999999999999</v>
      </c>
    </row>
    <row r="41" spans="1:7" x14ac:dyDescent="0.25">
      <c r="A41" s="68">
        <v>2024</v>
      </c>
      <c r="B41" s="68" t="s">
        <v>274</v>
      </c>
      <c r="C41" s="68">
        <v>867</v>
      </c>
      <c r="D41" s="68">
        <v>795</v>
      </c>
      <c r="E41" s="68">
        <v>72</v>
      </c>
      <c r="F41" s="69">
        <v>0.91700000000000004</v>
      </c>
      <c r="G41" s="69">
        <v>8.3000000000000004E-2</v>
      </c>
    </row>
    <row r="42" spans="1:7" x14ac:dyDescent="0.25">
      <c r="A42" s="68">
        <v>2024</v>
      </c>
      <c r="B42" s="68" t="s">
        <v>275</v>
      </c>
      <c r="C42" s="68">
        <v>953</v>
      </c>
      <c r="D42" s="68">
        <v>879</v>
      </c>
      <c r="E42" s="68">
        <v>74</v>
      </c>
      <c r="F42" s="69">
        <v>0.92200000000000004</v>
      </c>
      <c r="G42" s="69">
        <v>7.8E-2</v>
      </c>
    </row>
    <row r="43" spans="1:7" x14ac:dyDescent="0.25">
      <c r="A43" s="68">
        <v>2024</v>
      </c>
      <c r="B43" s="68" t="s">
        <v>276</v>
      </c>
      <c r="C43" s="68">
        <v>848</v>
      </c>
      <c r="D43" s="68">
        <v>785</v>
      </c>
      <c r="E43" s="68">
        <v>63</v>
      </c>
      <c r="F43" s="69">
        <v>0.92600000000000005</v>
      </c>
      <c r="G43" s="69">
        <v>7.3999999999999996E-2</v>
      </c>
    </row>
    <row r="44" spans="1:7" x14ac:dyDescent="0.25">
      <c r="A44" s="68">
        <v>2024</v>
      </c>
      <c r="B44" s="68" t="s">
        <v>277</v>
      </c>
      <c r="C44" s="68">
        <v>835</v>
      </c>
      <c r="D44" s="68">
        <v>682</v>
      </c>
      <c r="E44" s="68">
        <v>153</v>
      </c>
      <c r="F44" s="69">
        <v>0.81699999999999995</v>
      </c>
      <c r="G44" s="69">
        <v>0.183</v>
      </c>
    </row>
    <row r="45" spans="1:7" x14ac:dyDescent="0.25">
      <c r="A45" s="68">
        <v>2024</v>
      </c>
      <c r="B45" s="68" t="s">
        <v>278</v>
      </c>
      <c r="C45" s="68">
        <v>1366</v>
      </c>
      <c r="D45" s="68">
        <v>1214</v>
      </c>
      <c r="E45" s="68">
        <v>152</v>
      </c>
      <c r="F45" s="69">
        <v>0.88900000000000001</v>
      </c>
      <c r="G45" s="69">
        <v>0.111</v>
      </c>
    </row>
    <row r="46" spans="1:7" x14ac:dyDescent="0.25">
      <c r="A46" s="68">
        <v>2025</v>
      </c>
      <c r="B46" s="68" t="s">
        <v>271</v>
      </c>
      <c r="C46" s="68">
        <v>1554</v>
      </c>
      <c r="D46" s="68">
        <v>1388</v>
      </c>
      <c r="E46" s="68">
        <v>166</v>
      </c>
      <c r="F46" s="69">
        <v>0.89300000000000002</v>
      </c>
      <c r="G46" s="69">
        <v>0.107</v>
      </c>
    </row>
    <row r="47" spans="1:7" x14ac:dyDescent="0.25">
      <c r="A47" s="68">
        <v>2025</v>
      </c>
      <c r="B47" s="68" t="s">
        <v>272</v>
      </c>
      <c r="C47" s="68">
        <v>1675</v>
      </c>
      <c r="D47" s="68">
        <v>1457</v>
      </c>
      <c r="E47" s="68">
        <v>218</v>
      </c>
      <c r="F47" s="69">
        <v>0.87</v>
      </c>
      <c r="G47" s="69">
        <v>0.13</v>
      </c>
    </row>
    <row r="48" spans="1:7" x14ac:dyDescent="0.25">
      <c r="A48" s="68">
        <v>2025</v>
      </c>
      <c r="B48" s="68" t="s">
        <v>273</v>
      </c>
      <c r="C48" s="68">
        <v>1710</v>
      </c>
      <c r="D48" s="68">
        <v>1503</v>
      </c>
      <c r="E48" s="68">
        <v>207</v>
      </c>
      <c r="F48" s="69">
        <v>0.879</v>
      </c>
      <c r="G48" s="69">
        <v>0.121</v>
      </c>
    </row>
    <row r="49" spans="1:16" x14ac:dyDescent="0.25">
      <c r="A49" s="68">
        <v>2025</v>
      </c>
      <c r="B49" s="68" t="s">
        <v>274</v>
      </c>
      <c r="C49" s="68">
        <v>1010</v>
      </c>
      <c r="D49" s="68">
        <v>921</v>
      </c>
      <c r="E49" s="68">
        <v>89</v>
      </c>
      <c r="F49" s="69">
        <v>0.91200000000000003</v>
      </c>
      <c r="G49" s="69">
        <v>8.7999999999999995E-2</v>
      </c>
    </row>
    <row r="50" spans="1:16" x14ac:dyDescent="0.25">
      <c r="A50" s="68">
        <v>2025</v>
      </c>
      <c r="B50" s="68" t="s">
        <v>275</v>
      </c>
      <c r="C50" s="68">
        <v>1100</v>
      </c>
      <c r="D50" s="68">
        <v>1005</v>
      </c>
      <c r="E50" s="68">
        <v>95</v>
      </c>
      <c r="F50" s="69">
        <v>0.91400000000000003</v>
      </c>
      <c r="G50" s="69">
        <v>8.5999999999999993E-2</v>
      </c>
    </row>
    <row r="51" spans="1:16" x14ac:dyDescent="0.25">
      <c r="A51" s="68">
        <v>2025</v>
      </c>
      <c r="B51" s="68" t="s">
        <v>276</v>
      </c>
      <c r="C51" s="68">
        <v>1045</v>
      </c>
      <c r="D51" s="68">
        <v>969</v>
      </c>
      <c r="E51" s="68">
        <v>76</v>
      </c>
      <c r="F51" s="69">
        <v>0.92700000000000005</v>
      </c>
      <c r="G51" s="69">
        <v>7.2999999999999995E-2</v>
      </c>
    </row>
    <row r="52" spans="1:16" x14ac:dyDescent="0.25">
      <c r="A52" s="68">
        <v>2025</v>
      </c>
      <c r="B52" s="68" t="s">
        <v>277</v>
      </c>
      <c r="C52" s="68">
        <v>1145</v>
      </c>
      <c r="D52" s="68">
        <v>979</v>
      </c>
      <c r="E52" s="68">
        <v>166</v>
      </c>
      <c r="F52" s="69">
        <v>0.85499999999999998</v>
      </c>
      <c r="G52" s="69">
        <v>0.14499999999999999</v>
      </c>
    </row>
    <row r="53" spans="1:16" x14ac:dyDescent="0.25">
      <c r="A53" s="68">
        <v>2025</v>
      </c>
      <c r="B53" s="68" t="s">
        <v>278</v>
      </c>
      <c r="C53" s="68">
        <v>1727</v>
      </c>
      <c r="D53" s="68">
        <v>1571</v>
      </c>
      <c r="E53" s="68">
        <v>156</v>
      </c>
      <c r="F53" s="69">
        <v>0.91</v>
      </c>
      <c r="G53" s="69">
        <v>0.09</v>
      </c>
    </row>
    <row r="54" spans="1:16" x14ac:dyDescent="0.25">
      <c r="A54" s="68">
        <v>2025</v>
      </c>
      <c r="B54" s="68" t="s">
        <v>279</v>
      </c>
      <c r="C54" s="68">
        <v>842</v>
      </c>
      <c r="D54" s="68">
        <v>767</v>
      </c>
      <c r="E54" s="68">
        <v>75</v>
      </c>
      <c r="F54" s="69">
        <v>0.91100000000000003</v>
      </c>
      <c r="G54" s="69">
        <v>8.8999999999999996E-2</v>
      </c>
    </row>
    <row r="55" spans="1:16" x14ac:dyDescent="0.25">
      <c r="A55" s="68">
        <v>2026</v>
      </c>
      <c r="B55" s="68" t="s">
        <v>271</v>
      </c>
      <c r="C55" s="68">
        <v>395</v>
      </c>
      <c r="D55" s="68">
        <v>366</v>
      </c>
      <c r="E55" s="68">
        <v>29</v>
      </c>
      <c r="F55" s="69">
        <v>0.92700000000000005</v>
      </c>
      <c r="G55" s="69">
        <v>7.2999999999999995E-2</v>
      </c>
    </row>
    <row r="56" spans="1:16" x14ac:dyDescent="0.25">
      <c r="A56" s="68">
        <v>2026</v>
      </c>
      <c r="B56" s="68" t="s">
        <v>272</v>
      </c>
      <c r="C56" s="68">
        <v>426</v>
      </c>
      <c r="D56" s="68">
        <v>395</v>
      </c>
      <c r="E56" s="68">
        <v>31</v>
      </c>
      <c r="F56" s="69">
        <v>0.92700000000000005</v>
      </c>
      <c r="G56" s="69">
        <v>7.2999999999999995E-2</v>
      </c>
    </row>
    <row r="57" spans="1:16" x14ac:dyDescent="0.25">
      <c r="A57" s="68">
        <v>2026</v>
      </c>
      <c r="B57" s="68" t="s">
        <v>273</v>
      </c>
      <c r="C57" s="68">
        <v>380</v>
      </c>
      <c r="D57" s="68">
        <v>341</v>
      </c>
      <c r="E57" s="68">
        <v>39</v>
      </c>
      <c r="F57" s="69">
        <v>0.89700000000000002</v>
      </c>
      <c r="G57" s="69">
        <v>0.10299999999999999</v>
      </c>
      <c r="P57" s="70"/>
    </row>
    <row r="58" spans="1:16" x14ac:dyDescent="0.25">
      <c r="A58" s="68">
        <v>2026</v>
      </c>
      <c r="B58" s="68" t="s">
        <v>274</v>
      </c>
      <c r="C58" s="68">
        <v>349</v>
      </c>
      <c r="D58" s="68">
        <v>330</v>
      </c>
      <c r="E58" s="68">
        <v>19</v>
      </c>
      <c r="F58" s="69">
        <v>0.94599999999999995</v>
      </c>
      <c r="G58" s="69">
        <v>5.3999999999999999E-2</v>
      </c>
    </row>
    <row r="59" spans="1:16" x14ac:dyDescent="0.25">
      <c r="A59" s="68">
        <v>2026</v>
      </c>
      <c r="B59" s="68" t="s">
        <v>275</v>
      </c>
      <c r="C59" s="68">
        <v>308</v>
      </c>
      <c r="D59" s="68">
        <v>278</v>
      </c>
      <c r="E59" s="68">
        <v>30</v>
      </c>
      <c r="F59" s="69">
        <v>0.90300000000000002</v>
      </c>
      <c r="G59" s="69">
        <v>9.7000000000000003E-2</v>
      </c>
    </row>
    <row r="60" spans="1:16" x14ac:dyDescent="0.25">
      <c r="A60" s="68">
        <v>2026</v>
      </c>
      <c r="B60" s="68" t="s">
        <v>276</v>
      </c>
      <c r="C60" s="68">
        <v>271</v>
      </c>
      <c r="D60" s="68">
        <v>254</v>
      </c>
      <c r="E60" s="68">
        <v>17</v>
      </c>
      <c r="F60" s="69">
        <v>0.93700000000000006</v>
      </c>
      <c r="G60" s="69">
        <v>6.3E-2</v>
      </c>
    </row>
    <row r="61" spans="1:16" x14ac:dyDescent="0.25">
      <c r="A61" s="68">
        <v>2026</v>
      </c>
      <c r="B61" s="68" t="s">
        <v>277</v>
      </c>
      <c r="C61" s="68">
        <v>413</v>
      </c>
      <c r="D61" s="68">
        <v>383</v>
      </c>
      <c r="E61" s="68">
        <v>30</v>
      </c>
      <c r="F61" s="69">
        <v>0.92700000000000005</v>
      </c>
      <c r="G61" s="69">
        <v>7.2999999999999995E-2</v>
      </c>
    </row>
    <row r="62" spans="1:16" x14ac:dyDescent="0.25">
      <c r="A62" s="68">
        <v>2026</v>
      </c>
      <c r="B62" s="68" t="s">
        <v>278</v>
      </c>
      <c r="C62" s="68">
        <v>326</v>
      </c>
      <c r="D62" s="68">
        <v>317</v>
      </c>
      <c r="E62" s="68">
        <v>9</v>
      </c>
      <c r="F62" s="69">
        <v>0.97199999999999998</v>
      </c>
      <c r="G62" s="69">
        <v>2.8000000000000001E-2</v>
      </c>
    </row>
    <row r="63" spans="1:16" x14ac:dyDescent="0.25">
      <c r="A63" s="68">
        <v>2026</v>
      </c>
      <c r="B63" s="68" t="s">
        <v>279</v>
      </c>
      <c r="C63" s="68">
        <v>326</v>
      </c>
      <c r="D63" s="68">
        <v>298</v>
      </c>
      <c r="E63" s="68">
        <v>28</v>
      </c>
      <c r="F63" s="69">
        <v>0.91400000000000003</v>
      </c>
      <c r="G63" s="69">
        <v>8.5999999999999993E-2</v>
      </c>
    </row>
    <row r="65" spans="1:6" x14ac:dyDescent="0.25">
      <c r="A65" s="102" t="s">
        <v>280</v>
      </c>
      <c r="B65" s="103"/>
      <c r="C65" s="103"/>
      <c r="D65" s="103"/>
      <c r="E65" s="103"/>
      <c r="F65" s="103"/>
    </row>
    <row r="66" spans="1:6" x14ac:dyDescent="0.25">
      <c r="A66" s="51" t="s">
        <v>1</v>
      </c>
      <c r="B66" s="51" t="s">
        <v>6</v>
      </c>
      <c r="C66" s="51" t="s">
        <v>7</v>
      </c>
      <c r="D66" s="51" t="s">
        <v>2</v>
      </c>
      <c r="E66" s="51" t="s">
        <v>281</v>
      </c>
      <c r="F66" s="51" t="s">
        <v>282</v>
      </c>
    </row>
    <row r="67" spans="1:6" x14ac:dyDescent="0.25">
      <c r="A67" s="52" t="s">
        <v>36</v>
      </c>
      <c r="B67" s="6">
        <v>432453</v>
      </c>
      <c r="C67" s="6">
        <v>471549</v>
      </c>
      <c r="D67" s="6">
        <v>904002</v>
      </c>
      <c r="E67" s="63">
        <f t="shared" ref="E67:E75" si="2">IF(D67&gt;0,C67/D67,"")</f>
        <v>0.5216238459649426</v>
      </c>
      <c r="F67" s="8">
        <v>2E-3</v>
      </c>
    </row>
    <row r="68" spans="1:6" x14ac:dyDescent="0.25">
      <c r="A68" s="53" t="s">
        <v>10</v>
      </c>
      <c r="B68" s="6">
        <v>261358</v>
      </c>
      <c r="C68" s="6">
        <v>292490</v>
      </c>
      <c r="D68" s="6">
        <v>553848</v>
      </c>
      <c r="E68" s="63">
        <f t="shared" si="2"/>
        <v>0.52810518409383078</v>
      </c>
      <c r="F68" s="8">
        <v>2E-3</v>
      </c>
    </row>
    <row r="69" spans="1:6" x14ac:dyDescent="0.25">
      <c r="A69" s="54" t="s">
        <v>15</v>
      </c>
      <c r="B69" s="6">
        <v>26822</v>
      </c>
      <c r="C69" s="6">
        <v>29608</v>
      </c>
      <c r="D69" s="6">
        <v>56430</v>
      </c>
      <c r="E69" s="63">
        <f t="shared" si="2"/>
        <v>0.52468545100124042</v>
      </c>
      <c r="F69" s="8">
        <v>2E-3</v>
      </c>
    </row>
    <row r="70" spans="1:6" x14ac:dyDescent="0.25">
      <c r="A70" s="55" t="s">
        <v>12</v>
      </c>
      <c r="B70" s="6">
        <v>40270</v>
      </c>
      <c r="C70" s="6">
        <v>44244</v>
      </c>
      <c r="D70" s="6">
        <v>84514</v>
      </c>
      <c r="E70" s="63">
        <f t="shared" si="2"/>
        <v>0.52351089760276404</v>
      </c>
      <c r="F70" s="8">
        <v>2E-3</v>
      </c>
    </row>
    <row r="71" spans="1:6" x14ac:dyDescent="0.25">
      <c r="A71" s="56" t="s">
        <v>39</v>
      </c>
      <c r="B71" s="6">
        <v>11227</v>
      </c>
      <c r="C71" s="6">
        <v>12255</v>
      </c>
      <c r="D71" s="6">
        <v>23482</v>
      </c>
      <c r="E71" s="63">
        <f t="shared" si="2"/>
        <v>0.52188910654969767</v>
      </c>
      <c r="F71" s="8">
        <v>2E-3</v>
      </c>
    </row>
    <row r="72" spans="1:6" x14ac:dyDescent="0.25">
      <c r="A72" s="57" t="s">
        <v>11</v>
      </c>
      <c r="B72" s="6">
        <v>43851</v>
      </c>
      <c r="C72" s="6">
        <v>47091</v>
      </c>
      <c r="D72" s="6">
        <v>90942</v>
      </c>
      <c r="E72" s="63">
        <f t="shared" si="2"/>
        <v>0.51781355149435904</v>
      </c>
      <c r="F72" s="8">
        <v>2E-3</v>
      </c>
    </row>
    <row r="73" spans="1:6" x14ac:dyDescent="0.25">
      <c r="A73" s="58" t="s">
        <v>16</v>
      </c>
      <c r="B73" s="6">
        <v>22611</v>
      </c>
      <c r="C73" s="6">
        <v>18388</v>
      </c>
      <c r="D73" s="6">
        <v>40999</v>
      </c>
      <c r="E73" s="63">
        <f t="shared" si="2"/>
        <v>0.44849874387180177</v>
      </c>
      <c r="F73" s="8">
        <v>2E-3</v>
      </c>
    </row>
    <row r="74" spans="1:6" x14ac:dyDescent="0.25">
      <c r="A74" s="59" t="s">
        <v>14</v>
      </c>
      <c r="B74" s="6">
        <v>26314</v>
      </c>
      <c r="C74" s="6">
        <v>27473</v>
      </c>
      <c r="D74" s="6">
        <v>53787</v>
      </c>
      <c r="E74" s="63">
        <f t="shared" si="2"/>
        <v>0.51077397884247122</v>
      </c>
      <c r="F74" s="8">
        <v>2E-3</v>
      </c>
    </row>
    <row r="75" spans="1:6" x14ac:dyDescent="0.25">
      <c r="A75" s="64" t="s">
        <v>13</v>
      </c>
      <c r="B75" s="6">
        <v>31347</v>
      </c>
      <c r="C75" s="6">
        <v>32571</v>
      </c>
      <c r="D75" s="6">
        <v>63918</v>
      </c>
      <c r="E75" s="63">
        <f t="shared" si="2"/>
        <v>0.50957476767107857</v>
      </c>
      <c r="F75" s="18">
        <v>-2.7E-2</v>
      </c>
    </row>
    <row r="77" spans="1:6" x14ac:dyDescent="0.25">
      <c r="A77" s="100" t="s">
        <v>283</v>
      </c>
      <c r="B77" s="83"/>
      <c r="C77" s="83"/>
      <c r="D77" s="83"/>
      <c r="E77" s="83"/>
      <c r="F77" s="83"/>
    </row>
  </sheetData>
  <mergeCells count="4">
    <mergeCell ref="A3:F3"/>
    <mergeCell ref="A77:F77"/>
    <mergeCell ref="A1:F1"/>
    <mergeCell ref="A65:F6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theme="7"/>
  </sheetPr>
  <dimension ref="A1:G81"/>
  <sheetViews>
    <sheetView topLeftCell="A7" zoomScaleNormal="100" workbookViewId="0">
      <selection activeCell="A33" sqref="A33"/>
    </sheetView>
  </sheetViews>
  <sheetFormatPr baseColWidth="10" defaultColWidth="8.7109375" defaultRowHeight="15" x14ac:dyDescent="0.25"/>
  <cols>
    <col min="1" max="1" width="18" style="2" customWidth="1"/>
    <col min="2" max="2" width="12" style="2" customWidth="1"/>
    <col min="3" max="3" width="14" style="2" customWidth="1"/>
    <col min="4" max="4" width="15.28515625" style="2" bestFit="1" customWidth="1"/>
    <col min="5" max="6" width="14" style="2" customWidth="1"/>
    <col min="7" max="7" width="16" style="2" customWidth="1"/>
    <col min="8" max="8" width="8.7109375" style="2" customWidth="1"/>
    <col min="9" max="16384" width="8.7109375" style="2"/>
  </cols>
  <sheetData>
    <row r="1" spans="1:7" ht="25.5" customHeight="1" x14ac:dyDescent="0.25">
      <c r="A1" s="47" t="s">
        <v>58</v>
      </c>
      <c r="B1" s="47" t="s">
        <v>31</v>
      </c>
      <c r="C1" s="47" t="s">
        <v>32</v>
      </c>
      <c r="D1" s="47" t="s">
        <v>257</v>
      </c>
      <c r="E1" s="47" t="s">
        <v>258</v>
      </c>
      <c r="F1" s="47" t="s">
        <v>259</v>
      </c>
      <c r="G1" s="47" t="s">
        <v>284</v>
      </c>
    </row>
    <row r="2" spans="1:7" x14ac:dyDescent="0.25">
      <c r="A2" s="4" t="s">
        <v>10</v>
      </c>
      <c r="B2" s="5" t="s">
        <v>43</v>
      </c>
      <c r="C2" s="5" t="s">
        <v>285</v>
      </c>
      <c r="D2" s="5">
        <v>16159</v>
      </c>
      <c r="E2" s="5">
        <v>14326</v>
      </c>
      <c r="F2" s="5">
        <v>4470</v>
      </c>
      <c r="G2" s="7">
        <f t="shared" ref="G2:G31" si="0">IF(D2&gt;0,E2/D2,"")</f>
        <v>0.88656476267095741</v>
      </c>
    </row>
    <row r="3" spans="1:7" x14ac:dyDescent="0.25">
      <c r="A3" s="4" t="s">
        <v>10</v>
      </c>
      <c r="B3" s="5" t="s">
        <v>286</v>
      </c>
      <c r="C3" s="5" t="s">
        <v>285</v>
      </c>
      <c r="D3" s="5">
        <v>19221</v>
      </c>
      <c r="E3" s="5">
        <v>18989</v>
      </c>
      <c r="F3" s="5">
        <v>2517</v>
      </c>
      <c r="G3" s="7">
        <f t="shared" si="0"/>
        <v>0.98792986837313357</v>
      </c>
    </row>
    <row r="4" spans="1:7" x14ac:dyDescent="0.25">
      <c r="A4" s="4" t="s">
        <v>10</v>
      </c>
      <c r="B4" s="5" t="s">
        <v>287</v>
      </c>
      <c r="C4" s="5" t="s">
        <v>285</v>
      </c>
      <c r="D4" s="5">
        <v>24303</v>
      </c>
      <c r="E4" s="5">
        <v>23560</v>
      </c>
      <c r="F4" s="5">
        <v>80</v>
      </c>
      <c r="G4" s="7">
        <f t="shared" si="0"/>
        <v>0.96942764267785875</v>
      </c>
    </row>
    <row r="5" spans="1:7" x14ac:dyDescent="0.25">
      <c r="A5" s="4" t="s">
        <v>10</v>
      </c>
      <c r="B5" s="5" t="s">
        <v>288</v>
      </c>
      <c r="C5" s="5" t="s">
        <v>285</v>
      </c>
      <c r="D5" s="5">
        <v>15554</v>
      </c>
      <c r="E5" s="5">
        <v>11704</v>
      </c>
      <c r="F5" s="5">
        <v>229</v>
      </c>
      <c r="G5" s="7">
        <f t="shared" si="0"/>
        <v>0.75247524752475248</v>
      </c>
    </row>
    <row r="6" spans="1:7" x14ac:dyDescent="0.25">
      <c r="A6" s="4" t="s">
        <v>10</v>
      </c>
      <c r="B6" s="5" t="s">
        <v>289</v>
      </c>
      <c r="C6" s="5" t="s">
        <v>285</v>
      </c>
      <c r="D6" s="5">
        <v>26914</v>
      </c>
      <c r="E6" s="5">
        <v>26464</v>
      </c>
      <c r="F6" s="5">
        <v>84</v>
      </c>
      <c r="G6" s="7">
        <f t="shared" si="0"/>
        <v>0.98328007728319833</v>
      </c>
    </row>
    <row r="7" spans="1:7" x14ac:dyDescent="0.25">
      <c r="A7" s="4" t="s">
        <v>10</v>
      </c>
      <c r="B7" s="5" t="s">
        <v>290</v>
      </c>
      <c r="C7" s="5" t="s">
        <v>285</v>
      </c>
      <c r="D7" s="5">
        <v>30497</v>
      </c>
      <c r="E7" s="5">
        <v>30280</v>
      </c>
      <c r="F7" s="5">
        <v>25</v>
      </c>
      <c r="G7" s="7">
        <f t="shared" si="0"/>
        <v>0.99288454602092013</v>
      </c>
    </row>
    <row r="8" spans="1:7" x14ac:dyDescent="0.25">
      <c r="A8" s="4" t="s">
        <v>10</v>
      </c>
      <c r="B8" s="5" t="s">
        <v>291</v>
      </c>
      <c r="C8" s="5" t="s">
        <v>285</v>
      </c>
      <c r="D8" s="5">
        <v>34272</v>
      </c>
      <c r="E8" s="5">
        <v>33822</v>
      </c>
      <c r="F8" s="5">
        <v>28</v>
      </c>
      <c r="G8" s="7">
        <f t="shared" si="0"/>
        <v>0.98686974789915971</v>
      </c>
    </row>
    <row r="9" spans="1:7" x14ac:dyDescent="0.25">
      <c r="A9" s="4" t="s">
        <v>10</v>
      </c>
      <c r="B9" s="5" t="s">
        <v>292</v>
      </c>
      <c r="C9" s="5" t="s">
        <v>285</v>
      </c>
      <c r="D9" s="5">
        <v>33940</v>
      </c>
      <c r="E9" s="5">
        <v>33513</v>
      </c>
      <c r="F9" s="5">
        <v>31</v>
      </c>
      <c r="G9" s="7">
        <f t="shared" si="0"/>
        <v>0.98741897466116679</v>
      </c>
    </row>
    <row r="10" spans="1:7" x14ac:dyDescent="0.25">
      <c r="A10" s="4" t="s">
        <v>10</v>
      </c>
      <c r="B10" s="5" t="s">
        <v>293</v>
      </c>
      <c r="C10" s="5" t="s">
        <v>285</v>
      </c>
      <c r="D10" s="5">
        <v>40546</v>
      </c>
      <c r="E10" s="5">
        <v>40027</v>
      </c>
      <c r="F10" s="5">
        <v>43</v>
      </c>
      <c r="G10" s="7">
        <f t="shared" si="0"/>
        <v>0.98719972377053222</v>
      </c>
    </row>
    <row r="11" spans="1:7" x14ac:dyDescent="0.25">
      <c r="A11" s="4" t="s">
        <v>10</v>
      </c>
      <c r="B11" s="5" t="s">
        <v>294</v>
      </c>
      <c r="C11" s="5" t="s">
        <v>295</v>
      </c>
      <c r="D11" s="5">
        <v>8945</v>
      </c>
      <c r="E11" s="5">
        <v>8904</v>
      </c>
      <c r="F11" s="5">
        <v>8</v>
      </c>
      <c r="G11" s="7">
        <f t="shared" si="0"/>
        <v>0.99541643376187816</v>
      </c>
    </row>
    <row r="12" spans="1:7" x14ac:dyDescent="0.25">
      <c r="A12" s="10" t="s">
        <v>11</v>
      </c>
      <c r="B12" s="5" t="s">
        <v>43</v>
      </c>
      <c r="C12" s="5" t="s">
        <v>285</v>
      </c>
      <c r="D12" s="5">
        <v>2802</v>
      </c>
      <c r="E12" s="5">
        <v>2742</v>
      </c>
      <c r="F12" s="5">
        <v>370</v>
      </c>
      <c r="G12" s="7">
        <f t="shared" si="0"/>
        <v>0.97858672376873657</v>
      </c>
    </row>
    <row r="13" spans="1:7" x14ac:dyDescent="0.25">
      <c r="A13" s="10" t="s">
        <v>11</v>
      </c>
      <c r="B13" s="5" t="s">
        <v>286</v>
      </c>
      <c r="C13" s="5" t="s">
        <v>285</v>
      </c>
      <c r="D13" s="5">
        <v>1831</v>
      </c>
      <c r="E13" s="5">
        <v>1787</v>
      </c>
      <c r="F13" s="5">
        <v>114</v>
      </c>
      <c r="G13" s="7">
        <f t="shared" si="0"/>
        <v>0.97596941561987982</v>
      </c>
    </row>
    <row r="14" spans="1:7" x14ac:dyDescent="0.25">
      <c r="A14" s="10" t="s">
        <v>11</v>
      </c>
      <c r="B14" s="5" t="s">
        <v>287</v>
      </c>
      <c r="C14" s="5" t="s">
        <v>285</v>
      </c>
      <c r="D14" s="5">
        <v>2531</v>
      </c>
      <c r="E14" s="5">
        <v>2434</v>
      </c>
      <c r="F14" s="5">
        <v>5</v>
      </c>
      <c r="G14" s="7">
        <f t="shared" si="0"/>
        <v>0.96167522718293164</v>
      </c>
    </row>
    <row r="15" spans="1:7" x14ac:dyDescent="0.25">
      <c r="A15" s="10" t="s">
        <v>11</v>
      </c>
      <c r="B15" s="5" t="s">
        <v>288</v>
      </c>
      <c r="C15" s="5" t="s">
        <v>285</v>
      </c>
      <c r="D15" s="5">
        <v>1640</v>
      </c>
      <c r="E15" s="5">
        <v>1322</v>
      </c>
      <c r="F15" s="5">
        <v>14</v>
      </c>
      <c r="G15" s="7">
        <f t="shared" si="0"/>
        <v>0.80609756097560981</v>
      </c>
    </row>
    <row r="16" spans="1:7" x14ac:dyDescent="0.25">
      <c r="A16" s="10" t="s">
        <v>11</v>
      </c>
      <c r="B16" s="5" t="s">
        <v>289</v>
      </c>
      <c r="C16" s="5" t="s">
        <v>285</v>
      </c>
      <c r="D16" s="5">
        <v>2905</v>
      </c>
      <c r="E16" s="5">
        <v>2858</v>
      </c>
      <c r="F16" s="5">
        <v>89</v>
      </c>
      <c r="G16" s="7">
        <f t="shared" si="0"/>
        <v>0.98382099827882963</v>
      </c>
    </row>
    <row r="17" spans="1:7" x14ac:dyDescent="0.25">
      <c r="A17" s="10" t="s">
        <v>11</v>
      </c>
      <c r="B17" s="5" t="s">
        <v>290</v>
      </c>
      <c r="C17" s="5" t="s">
        <v>285</v>
      </c>
      <c r="D17" s="5">
        <v>3590</v>
      </c>
      <c r="E17" s="5">
        <v>3526</v>
      </c>
      <c r="F17" s="5">
        <v>84</v>
      </c>
      <c r="G17" s="7">
        <f t="shared" si="0"/>
        <v>0.98217270194986073</v>
      </c>
    </row>
    <row r="18" spans="1:7" x14ac:dyDescent="0.25">
      <c r="A18" s="10" t="s">
        <v>11</v>
      </c>
      <c r="B18" s="5" t="s">
        <v>291</v>
      </c>
      <c r="C18" s="5" t="s">
        <v>285</v>
      </c>
      <c r="D18" s="5">
        <v>3610</v>
      </c>
      <c r="E18" s="5">
        <v>3575</v>
      </c>
      <c r="F18" s="5">
        <v>149</v>
      </c>
      <c r="G18" s="7">
        <f t="shared" si="0"/>
        <v>0.99030470914127422</v>
      </c>
    </row>
    <row r="19" spans="1:7" x14ac:dyDescent="0.25">
      <c r="A19" s="10" t="s">
        <v>11</v>
      </c>
      <c r="B19" s="5" t="s">
        <v>292</v>
      </c>
      <c r="C19" s="5" t="s">
        <v>285</v>
      </c>
      <c r="D19" s="5">
        <v>3386</v>
      </c>
      <c r="E19" s="5">
        <v>3374</v>
      </c>
      <c r="F19" s="5">
        <v>45</v>
      </c>
      <c r="G19" s="7">
        <f t="shared" si="0"/>
        <v>0.99645599527466033</v>
      </c>
    </row>
    <row r="20" spans="1:7" x14ac:dyDescent="0.25">
      <c r="A20" s="10" t="s">
        <v>11</v>
      </c>
      <c r="B20" s="5" t="s">
        <v>293</v>
      </c>
      <c r="C20" s="5" t="s">
        <v>285</v>
      </c>
      <c r="D20" s="5">
        <v>2895</v>
      </c>
      <c r="E20" s="5">
        <v>2824</v>
      </c>
      <c r="F20" s="5">
        <v>45</v>
      </c>
      <c r="G20" s="7">
        <f t="shared" si="0"/>
        <v>0.97547495682210705</v>
      </c>
    </row>
    <row r="21" spans="1:7" x14ac:dyDescent="0.25">
      <c r="A21" s="10" t="s">
        <v>11</v>
      </c>
      <c r="B21" s="5" t="s">
        <v>294</v>
      </c>
      <c r="C21" s="5" t="s">
        <v>295</v>
      </c>
      <c r="D21" s="5">
        <v>506</v>
      </c>
      <c r="E21" s="5">
        <v>489</v>
      </c>
      <c r="F21" s="5">
        <v>9</v>
      </c>
      <c r="G21" s="7">
        <f t="shared" si="0"/>
        <v>0.96640316205533594</v>
      </c>
    </row>
    <row r="22" spans="1:7" x14ac:dyDescent="0.25">
      <c r="A22" s="11" t="s">
        <v>14</v>
      </c>
      <c r="B22" s="5" t="s">
        <v>43</v>
      </c>
      <c r="C22" s="5" t="s">
        <v>285</v>
      </c>
      <c r="D22" s="5">
        <v>905</v>
      </c>
      <c r="E22" s="5">
        <v>905</v>
      </c>
      <c r="F22" s="5">
        <v>245</v>
      </c>
      <c r="G22" s="7">
        <f t="shared" si="0"/>
        <v>1</v>
      </c>
    </row>
    <row r="23" spans="1:7" x14ac:dyDescent="0.25">
      <c r="A23" s="11" t="s">
        <v>14</v>
      </c>
      <c r="B23" s="5" t="s">
        <v>286</v>
      </c>
      <c r="C23" s="5" t="s">
        <v>285</v>
      </c>
      <c r="D23" s="5">
        <v>1225</v>
      </c>
      <c r="E23" s="5">
        <v>1221</v>
      </c>
      <c r="F23" s="5">
        <v>453</v>
      </c>
      <c r="G23" s="7">
        <f t="shared" si="0"/>
        <v>0.99673469387755098</v>
      </c>
    </row>
    <row r="24" spans="1:7" x14ac:dyDescent="0.25">
      <c r="A24" s="11" t="s">
        <v>14</v>
      </c>
      <c r="B24" s="5" t="s">
        <v>287</v>
      </c>
      <c r="C24" s="5" t="s">
        <v>285</v>
      </c>
      <c r="D24" s="5">
        <v>1535</v>
      </c>
      <c r="E24" s="5">
        <v>1528</v>
      </c>
      <c r="F24" s="5">
        <v>352</v>
      </c>
      <c r="G24" s="7">
        <f t="shared" si="0"/>
        <v>0.9954397394136808</v>
      </c>
    </row>
    <row r="25" spans="1:7" x14ac:dyDescent="0.25">
      <c r="A25" s="11" t="s">
        <v>14</v>
      </c>
      <c r="B25" s="5" t="s">
        <v>288</v>
      </c>
      <c r="C25" s="5" t="s">
        <v>285</v>
      </c>
      <c r="D25" s="5">
        <v>932</v>
      </c>
      <c r="E25" s="5">
        <v>870</v>
      </c>
      <c r="F25" s="5">
        <v>118</v>
      </c>
      <c r="G25" s="7">
        <f t="shared" si="0"/>
        <v>0.9334763948497854</v>
      </c>
    </row>
    <row r="26" spans="1:7" x14ac:dyDescent="0.25">
      <c r="A26" s="11" t="s">
        <v>14</v>
      </c>
      <c r="B26" s="5" t="s">
        <v>289</v>
      </c>
      <c r="C26" s="5" t="s">
        <v>285</v>
      </c>
      <c r="D26" s="5">
        <v>1347</v>
      </c>
      <c r="E26" s="5">
        <v>1344</v>
      </c>
      <c r="F26" s="5">
        <v>218</v>
      </c>
      <c r="G26" s="7">
        <f t="shared" si="0"/>
        <v>0.99777282850779514</v>
      </c>
    </row>
    <row r="27" spans="1:7" x14ac:dyDescent="0.25">
      <c r="A27" s="11" t="s">
        <v>14</v>
      </c>
      <c r="B27" s="5" t="s">
        <v>290</v>
      </c>
      <c r="C27" s="5" t="s">
        <v>285</v>
      </c>
      <c r="D27" s="5">
        <v>1640</v>
      </c>
      <c r="E27" s="5">
        <v>1636</v>
      </c>
      <c r="F27" s="5">
        <v>230</v>
      </c>
      <c r="G27" s="7">
        <f t="shared" si="0"/>
        <v>0.9975609756097561</v>
      </c>
    </row>
    <row r="28" spans="1:7" x14ac:dyDescent="0.25">
      <c r="A28" s="11" t="s">
        <v>14</v>
      </c>
      <c r="B28" s="5" t="s">
        <v>291</v>
      </c>
      <c r="C28" s="5" t="s">
        <v>285</v>
      </c>
      <c r="D28" s="5">
        <v>1813</v>
      </c>
      <c r="E28" s="5">
        <v>1806</v>
      </c>
      <c r="F28" s="5">
        <v>306</v>
      </c>
      <c r="G28" s="7">
        <f t="shared" si="0"/>
        <v>0.99613899613899615</v>
      </c>
    </row>
    <row r="29" spans="1:7" x14ac:dyDescent="0.25">
      <c r="A29" s="11" t="s">
        <v>14</v>
      </c>
      <c r="B29" s="5" t="s">
        <v>292</v>
      </c>
      <c r="C29" s="5" t="s">
        <v>285</v>
      </c>
      <c r="D29" s="5">
        <v>2228</v>
      </c>
      <c r="E29" s="5">
        <v>2219</v>
      </c>
      <c r="F29" s="5">
        <v>309</v>
      </c>
      <c r="G29" s="7">
        <f t="shared" si="0"/>
        <v>0.99596050269299818</v>
      </c>
    </row>
    <row r="30" spans="1:7" x14ac:dyDescent="0.25">
      <c r="A30" s="11" t="s">
        <v>14</v>
      </c>
      <c r="B30" s="5" t="s">
        <v>293</v>
      </c>
      <c r="C30" s="5" t="s">
        <v>285</v>
      </c>
      <c r="D30" s="5">
        <v>2904</v>
      </c>
      <c r="E30" s="5">
        <v>2883</v>
      </c>
      <c r="F30" s="5">
        <v>491</v>
      </c>
      <c r="G30" s="7">
        <f t="shared" si="0"/>
        <v>0.99276859504132231</v>
      </c>
    </row>
    <row r="31" spans="1:7" x14ac:dyDescent="0.25">
      <c r="A31" s="11" t="s">
        <v>14</v>
      </c>
      <c r="B31" s="5" t="s">
        <v>294</v>
      </c>
      <c r="C31" s="5" t="s">
        <v>295</v>
      </c>
      <c r="D31" s="5">
        <v>646</v>
      </c>
      <c r="E31" s="5">
        <v>646</v>
      </c>
      <c r="F31" s="5">
        <v>124</v>
      </c>
      <c r="G31" s="7">
        <f t="shared" si="0"/>
        <v>1</v>
      </c>
    </row>
    <row r="32" spans="1:7" x14ac:dyDescent="0.25">
      <c r="A32" s="12" t="s">
        <v>225</v>
      </c>
      <c r="B32" s="5" t="s">
        <v>43</v>
      </c>
      <c r="C32" s="5" t="s">
        <v>285</v>
      </c>
      <c r="D32" s="5"/>
      <c r="E32" s="5"/>
      <c r="F32" s="5"/>
      <c r="G32" s="65"/>
    </row>
    <row r="33" spans="1:7" x14ac:dyDescent="0.25">
      <c r="A33" s="12" t="s">
        <v>225</v>
      </c>
      <c r="B33" s="5" t="s">
        <v>286</v>
      </c>
      <c r="C33" s="5" t="s">
        <v>285</v>
      </c>
      <c r="D33" s="5"/>
      <c r="E33" s="5"/>
      <c r="F33" s="5"/>
      <c r="G33" s="65"/>
    </row>
    <row r="34" spans="1:7" x14ac:dyDescent="0.25">
      <c r="A34" s="12" t="s">
        <v>225</v>
      </c>
      <c r="B34" s="5" t="s">
        <v>287</v>
      </c>
      <c r="C34" s="5" t="s">
        <v>285</v>
      </c>
      <c r="D34" s="5"/>
      <c r="E34" s="5"/>
      <c r="F34" s="5"/>
      <c r="G34" s="65"/>
    </row>
    <row r="35" spans="1:7" x14ac:dyDescent="0.25">
      <c r="A35" s="12" t="s">
        <v>225</v>
      </c>
      <c r="B35" s="5" t="s">
        <v>288</v>
      </c>
      <c r="C35" s="5" t="s">
        <v>285</v>
      </c>
      <c r="D35" s="5"/>
      <c r="E35" s="5"/>
      <c r="F35" s="5"/>
      <c r="G35" s="65"/>
    </row>
    <row r="36" spans="1:7" x14ac:dyDescent="0.25">
      <c r="A36" s="12" t="s">
        <v>225</v>
      </c>
      <c r="B36" s="5" t="s">
        <v>289</v>
      </c>
      <c r="C36" s="5" t="s">
        <v>285</v>
      </c>
      <c r="D36" s="5">
        <v>1774</v>
      </c>
      <c r="E36" s="5">
        <v>1758</v>
      </c>
      <c r="F36" s="5">
        <v>179</v>
      </c>
      <c r="G36" s="7">
        <f t="shared" ref="G36:G41" si="1">IF(D36&gt;0,E36/D36,"")</f>
        <v>0.99098083427282979</v>
      </c>
    </row>
    <row r="37" spans="1:7" x14ac:dyDescent="0.25">
      <c r="A37" s="12" t="s">
        <v>225</v>
      </c>
      <c r="B37" s="5" t="s">
        <v>290</v>
      </c>
      <c r="C37" s="5" t="s">
        <v>285</v>
      </c>
      <c r="D37" s="5">
        <v>1988</v>
      </c>
      <c r="E37" s="5">
        <v>1981</v>
      </c>
      <c r="F37" s="5">
        <v>19</v>
      </c>
      <c r="G37" s="7">
        <f t="shared" si="1"/>
        <v>0.99647887323943662</v>
      </c>
    </row>
    <row r="38" spans="1:7" x14ac:dyDescent="0.25">
      <c r="A38" s="12" t="s">
        <v>225</v>
      </c>
      <c r="B38" s="5" t="s">
        <v>291</v>
      </c>
      <c r="C38" s="5" t="s">
        <v>285</v>
      </c>
      <c r="D38" s="5">
        <v>2030</v>
      </c>
      <c r="E38" s="5">
        <v>2029</v>
      </c>
      <c r="F38" s="5">
        <v>24</v>
      </c>
      <c r="G38" s="7">
        <f t="shared" si="1"/>
        <v>0.99950738916256154</v>
      </c>
    </row>
    <row r="39" spans="1:7" x14ac:dyDescent="0.25">
      <c r="A39" s="12" t="s">
        <v>225</v>
      </c>
      <c r="B39" s="5" t="s">
        <v>292</v>
      </c>
      <c r="C39" s="5" t="s">
        <v>285</v>
      </c>
      <c r="D39" s="5">
        <v>2505</v>
      </c>
      <c r="E39" s="5">
        <v>2497</v>
      </c>
      <c r="F39" s="5">
        <v>162</v>
      </c>
      <c r="G39" s="7">
        <f t="shared" si="1"/>
        <v>0.99680638722554893</v>
      </c>
    </row>
    <row r="40" spans="1:7" x14ac:dyDescent="0.25">
      <c r="A40" s="12" t="s">
        <v>225</v>
      </c>
      <c r="B40" s="5" t="s">
        <v>293</v>
      </c>
      <c r="C40" s="5" t="s">
        <v>285</v>
      </c>
      <c r="D40" s="5">
        <v>2424</v>
      </c>
      <c r="E40" s="5">
        <v>2421</v>
      </c>
      <c r="F40" s="5">
        <v>63</v>
      </c>
      <c r="G40" s="7">
        <f t="shared" si="1"/>
        <v>0.99876237623762376</v>
      </c>
    </row>
    <row r="41" spans="1:7" x14ac:dyDescent="0.25">
      <c r="A41" s="12" t="s">
        <v>225</v>
      </c>
      <c r="B41" s="5" t="s">
        <v>294</v>
      </c>
      <c r="C41" s="5" t="s">
        <v>295</v>
      </c>
      <c r="D41" s="5">
        <v>413</v>
      </c>
      <c r="E41" s="5">
        <v>413</v>
      </c>
      <c r="F41" s="5">
        <v>10</v>
      </c>
      <c r="G41" s="7">
        <f t="shared" si="1"/>
        <v>1</v>
      </c>
    </row>
    <row r="42" spans="1:7" x14ac:dyDescent="0.25">
      <c r="A42" s="13" t="s">
        <v>12</v>
      </c>
      <c r="B42" s="5" t="s">
        <v>43</v>
      </c>
      <c r="C42" s="5" t="s">
        <v>285</v>
      </c>
      <c r="D42" s="5"/>
      <c r="E42" s="5"/>
      <c r="F42" s="5"/>
      <c r="G42" s="65"/>
    </row>
    <row r="43" spans="1:7" x14ac:dyDescent="0.25">
      <c r="A43" s="13" t="s">
        <v>12</v>
      </c>
      <c r="B43" s="5" t="s">
        <v>286</v>
      </c>
      <c r="C43" s="5" t="s">
        <v>285</v>
      </c>
      <c r="D43" s="5"/>
      <c r="E43" s="5"/>
      <c r="F43" s="5"/>
      <c r="G43" s="65"/>
    </row>
    <row r="44" spans="1:7" x14ac:dyDescent="0.25">
      <c r="A44" s="13" t="s">
        <v>12</v>
      </c>
      <c r="B44" s="5" t="s">
        <v>287</v>
      </c>
      <c r="C44" s="5" t="s">
        <v>285</v>
      </c>
      <c r="D44" s="5"/>
      <c r="E44" s="5"/>
      <c r="F44" s="5"/>
      <c r="G44" s="65"/>
    </row>
    <row r="45" spans="1:7" x14ac:dyDescent="0.25">
      <c r="A45" s="13" t="s">
        <v>12</v>
      </c>
      <c r="B45" s="5" t="s">
        <v>288</v>
      </c>
      <c r="C45" s="5" t="s">
        <v>285</v>
      </c>
      <c r="D45" s="5">
        <v>565</v>
      </c>
      <c r="E45" s="5">
        <v>554</v>
      </c>
      <c r="F45" s="5">
        <v>39</v>
      </c>
      <c r="G45" s="7">
        <f t="shared" ref="G45:G81" si="2">IF(D45&gt;0,E45/D45,"")</f>
        <v>0.98053097345132745</v>
      </c>
    </row>
    <row r="46" spans="1:7" x14ac:dyDescent="0.25">
      <c r="A46" s="13" t="s">
        <v>12</v>
      </c>
      <c r="B46" s="5" t="s">
        <v>289</v>
      </c>
      <c r="C46" s="5" t="s">
        <v>285</v>
      </c>
      <c r="D46" s="5">
        <v>2522</v>
      </c>
      <c r="E46" s="5">
        <v>2502</v>
      </c>
      <c r="F46" s="5">
        <v>108</v>
      </c>
      <c r="G46" s="7">
        <f t="shared" si="2"/>
        <v>0.9920697858842189</v>
      </c>
    </row>
    <row r="47" spans="1:7" x14ac:dyDescent="0.25">
      <c r="A47" s="13" t="s">
        <v>12</v>
      </c>
      <c r="B47" s="5" t="s">
        <v>290</v>
      </c>
      <c r="C47" s="5" t="s">
        <v>285</v>
      </c>
      <c r="D47" s="5">
        <v>3220</v>
      </c>
      <c r="E47" s="5">
        <v>3171</v>
      </c>
      <c r="F47" s="5">
        <v>173</v>
      </c>
      <c r="G47" s="7">
        <f t="shared" si="2"/>
        <v>0.98478260869565215</v>
      </c>
    </row>
    <row r="48" spans="1:7" x14ac:dyDescent="0.25">
      <c r="A48" s="13" t="s">
        <v>12</v>
      </c>
      <c r="B48" s="5" t="s">
        <v>291</v>
      </c>
      <c r="C48" s="5" t="s">
        <v>285</v>
      </c>
      <c r="D48" s="5">
        <v>4073</v>
      </c>
      <c r="E48" s="5">
        <v>4033</v>
      </c>
      <c r="F48" s="5">
        <v>53</v>
      </c>
      <c r="G48" s="7">
        <f t="shared" si="2"/>
        <v>0.99017922906948197</v>
      </c>
    </row>
    <row r="49" spans="1:7" x14ac:dyDescent="0.25">
      <c r="A49" s="13" t="s">
        <v>12</v>
      </c>
      <c r="B49" s="5" t="s">
        <v>292</v>
      </c>
      <c r="C49" s="5" t="s">
        <v>285</v>
      </c>
      <c r="D49" s="5">
        <v>5763</v>
      </c>
      <c r="E49" s="5">
        <v>5750</v>
      </c>
      <c r="F49" s="5">
        <v>59</v>
      </c>
      <c r="G49" s="7">
        <f t="shared" si="2"/>
        <v>0.99774423043553706</v>
      </c>
    </row>
    <row r="50" spans="1:7" x14ac:dyDescent="0.25">
      <c r="A50" s="13" t="s">
        <v>12</v>
      </c>
      <c r="B50" s="5" t="s">
        <v>293</v>
      </c>
      <c r="C50" s="5" t="s">
        <v>285</v>
      </c>
      <c r="D50" s="5">
        <v>6702</v>
      </c>
      <c r="E50" s="5">
        <v>6677</v>
      </c>
      <c r="F50" s="5">
        <v>263</v>
      </c>
      <c r="G50" s="7">
        <f t="shared" si="2"/>
        <v>0.99626977021784546</v>
      </c>
    </row>
    <row r="51" spans="1:7" x14ac:dyDescent="0.25">
      <c r="A51" s="13" t="s">
        <v>12</v>
      </c>
      <c r="B51" s="5" t="s">
        <v>294</v>
      </c>
      <c r="C51" s="5" t="s">
        <v>295</v>
      </c>
      <c r="D51" s="5">
        <v>1019</v>
      </c>
      <c r="E51" s="5">
        <v>1018</v>
      </c>
      <c r="F51" s="5">
        <v>12</v>
      </c>
      <c r="G51" s="7">
        <f t="shared" si="2"/>
        <v>0.99901864573110888</v>
      </c>
    </row>
    <row r="52" spans="1:7" x14ac:dyDescent="0.25">
      <c r="A52" s="14" t="s">
        <v>262</v>
      </c>
      <c r="B52" s="5" t="s">
        <v>43</v>
      </c>
      <c r="C52" s="5" t="s">
        <v>285</v>
      </c>
      <c r="D52" s="5">
        <v>455</v>
      </c>
      <c r="E52" s="5">
        <v>453</v>
      </c>
      <c r="F52" s="5">
        <v>101</v>
      </c>
      <c r="G52" s="7">
        <f t="shared" si="2"/>
        <v>0.99560439560439562</v>
      </c>
    </row>
    <row r="53" spans="1:7" x14ac:dyDescent="0.25">
      <c r="A53" s="14" t="s">
        <v>262</v>
      </c>
      <c r="B53" s="5" t="s">
        <v>286</v>
      </c>
      <c r="C53" s="5" t="s">
        <v>285</v>
      </c>
      <c r="D53" s="5">
        <v>727</v>
      </c>
      <c r="E53" s="5">
        <v>725</v>
      </c>
      <c r="F53" s="5">
        <v>20</v>
      </c>
      <c r="G53" s="7">
        <f t="shared" si="2"/>
        <v>0.99724896836313615</v>
      </c>
    </row>
    <row r="54" spans="1:7" x14ac:dyDescent="0.25">
      <c r="A54" s="14" t="s">
        <v>262</v>
      </c>
      <c r="B54" s="5" t="s">
        <v>287</v>
      </c>
      <c r="C54" s="5" t="s">
        <v>285</v>
      </c>
      <c r="D54" s="5">
        <v>1204</v>
      </c>
      <c r="E54" s="5">
        <v>1180</v>
      </c>
      <c r="F54" s="5">
        <v>3</v>
      </c>
      <c r="G54" s="7">
        <f t="shared" si="2"/>
        <v>0.98006644518272423</v>
      </c>
    </row>
    <row r="55" spans="1:7" x14ac:dyDescent="0.25">
      <c r="A55" s="14" t="s">
        <v>262</v>
      </c>
      <c r="B55" s="5" t="s">
        <v>288</v>
      </c>
      <c r="C55" s="5" t="s">
        <v>285</v>
      </c>
      <c r="D55" s="5">
        <v>696</v>
      </c>
      <c r="E55" s="5">
        <v>572</v>
      </c>
      <c r="F55" s="5">
        <v>19</v>
      </c>
      <c r="G55" s="7">
        <f t="shared" si="2"/>
        <v>0.82183908045977017</v>
      </c>
    </row>
    <row r="56" spans="1:7" x14ac:dyDescent="0.25">
      <c r="A56" s="14" t="s">
        <v>262</v>
      </c>
      <c r="B56" s="5" t="s">
        <v>289</v>
      </c>
      <c r="C56" s="5" t="s">
        <v>285</v>
      </c>
      <c r="D56" s="5">
        <v>1246</v>
      </c>
      <c r="E56" s="5">
        <v>1238</v>
      </c>
      <c r="F56" s="5">
        <v>86</v>
      </c>
      <c r="G56" s="7">
        <f t="shared" si="2"/>
        <v>0.9935794542536116</v>
      </c>
    </row>
    <row r="57" spans="1:7" x14ac:dyDescent="0.25">
      <c r="A57" s="14" t="s">
        <v>262</v>
      </c>
      <c r="B57" s="5" t="s">
        <v>290</v>
      </c>
      <c r="C57" s="5" t="s">
        <v>285</v>
      </c>
      <c r="D57" s="5">
        <v>1443</v>
      </c>
      <c r="E57" s="5">
        <v>1441</v>
      </c>
      <c r="F57" s="5">
        <v>78</v>
      </c>
      <c r="G57" s="7">
        <f t="shared" si="2"/>
        <v>0.99861399861399858</v>
      </c>
    </row>
    <row r="58" spans="1:7" x14ac:dyDescent="0.25">
      <c r="A58" s="14" t="s">
        <v>262</v>
      </c>
      <c r="B58" s="5" t="s">
        <v>291</v>
      </c>
      <c r="C58" s="5" t="s">
        <v>285</v>
      </c>
      <c r="D58" s="5">
        <v>1616</v>
      </c>
      <c r="E58" s="5">
        <v>1610</v>
      </c>
      <c r="F58" s="5">
        <v>139</v>
      </c>
      <c r="G58" s="7">
        <f t="shared" si="2"/>
        <v>0.99628712871287128</v>
      </c>
    </row>
    <row r="59" spans="1:7" x14ac:dyDescent="0.25">
      <c r="A59" s="14" t="s">
        <v>262</v>
      </c>
      <c r="B59" s="5" t="s">
        <v>292</v>
      </c>
      <c r="C59" s="5" t="s">
        <v>285</v>
      </c>
      <c r="D59" s="5">
        <v>2056</v>
      </c>
      <c r="E59" s="5">
        <v>2056</v>
      </c>
      <c r="F59" s="5">
        <v>87</v>
      </c>
      <c r="G59" s="7">
        <f t="shared" si="2"/>
        <v>1</v>
      </c>
    </row>
    <row r="60" spans="1:7" x14ac:dyDescent="0.25">
      <c r="A60" s="14" t="s">
        <v>262</v>
      </c>
      <c r="B60" s="5" t="s">
        <v>293</v>
      </c>
      <c r="C60" s="5" t="s">
        <v>285</v>
      </c>
      <c r="D60" s="5">
        <v>2866</v>
      </c>
      <c r="E60" s="5">
        <v>2863</v>
      </c>
      <c r="F60" s="5">
        <v>267</v>
      </c>
      <c r="G60" s="7">
        <f t="shared" si="2"/>
        <v>0.99895324494068383</v>
      </c>
    </row>
    <row r="61" spans="1:7" x14ac:dyDescent="0.25">
      <c r="A61" s="14" t="s">
        <v>262</v>
      </c>
      <c r="B61" s="5" t="s">
        <v>294</v>
      </c>
      <c r="C61" s="5" t="s">
        <v>295</v>
      </c>
      <c r="D61" s="5">
        <v>699</v>
      </c>
      <c r="E61" s="5">
        <v>699</v>
      </c>
      <c r="F61" s="5">
        <v>48</v>
      </c>
      <c r="G61" s="7">
        <f t="shared" si="2"/>
        <v>1</v>
      </c>
    </row>
    <row r="62" spans="1:7" x14ac:dyDescent="0.25">
      <c r="A62" s="15" t="s">
        <v>214</v>
      </c>
      <c r="B62" s="5" t="s">
        <v>43</v>
      </c>
      <c r="C62" s="5" t="s">
        <v>285</v>
      </c>
      <c r="D62" s="5">
        <v>877</v>
      </c>
      <c r="E62" s="5">
        <v>835</v>
      </c>
      <c r="F62" s="5">
        <v>243</v>
      </c>
      <c r="G62" s="7">
        <f t="shared" si="2"/>
        <v>0.95210946408209807</v>
      </c>
    </row>
    <row r="63" spans="1:7" x14ac:dyDescent="0.25">
      <c r="A63" s="15" t="s">
        <v>214</v>
      </c>
      <c r="B63" s="5" t="s">
        <v>286</v>
      </c>
      <c r="C63" s="5" t="s">
        <v>285</v>
      </c>
      <c r="D63" s="5">
        <v>861</v>
      </c>
      <c r="E63" s="5">
        <v>841</v>
      </c>
      <c r="F63" s="5">
        <v>14</v>
      </c>
      <c r="G63" s="7">
        <f t="shared" si="2"/>
        <v>0.97677119628339137</v>
      </c>
    </row>
    <row r="64" spans="1:7" x14ac:dyDescent="0.25">
      <c r="A64" s="15" t="s">
        <v>214</v>
      </c>
      <c r="B64" s="5" t="s">
        <v>287</v>
      </c>
      <c r="C64" s="5" t="s">
        <v>285</v>
      </c>
      <c r="D64" s="5">
        <v>981</v>
      </c>
      <c r="E64" s="5">
        <v>906</v>
      </c>
      <c r="F64" s="5">
        <v>41</v>
      </c>
      <c r="G64" s="7">
        <f t="shared" si="2"/>
        <v>0.92354740061162077</v>
      </c>
    </row>
    <row r="65" spans="1:7" x14ac:dyDescent="0.25">
      <c r="A65" s="15" t="s">
        <v>214</v>
      </c>
      <c r="B65" s="5" t="s">
        <v>288</v>
      </c>
      <c r="C65" s="5" t="s">
        <v>285</v>
      </c>
      <c r="D65" s="5">
        <v>553</v>
      </c>
      <c r="E65" s="5">
        <v>398</v>
      </c>
      <c r="F65" s="5">
        <v>41</v>
      </c>
      <c r="G65" s="7">
        <f t="shared" si="2"/>
        <v>0.71971066907775771</v>
      </c>
    </row>
    <row r="66" spans="1:7" x14ac:dyDescent="0.25">
      <c r="A66" s="15" t="s">
        <v>214</v>
      </c>
      <c r="B66" s="5" t="s">
        <v>289</v>
      </c>
      <c r="C66" s="5" t="s">
        <v>285</v>
      </c>
      <c r="D66" s="5">
        <v>924</v>
      </c>
      <c r="E66" s="5">
        <v>901</v>
      </c>
      <c r="F66" s="5">
        <v>64</v>
      </c>
      <c r="G66" s="7">
        <f t="shared" si="2"/>
        <v>0.97510822510822515</v>
      </c>
    </row>
    <row r="67" spans="1:7" x14ac:dyDescent="0.25">
      <c r="A67" s="15" t="s">
        <v>214</v>
      </c>
      <c r="B67" s="5" t="s">
        <v>290</v>
      </c>
      <c r="C67" s="5" t="s">
        <v>285</v>
      </c>
      <c r="D67" s="5">
        <v>1204</v>
      </c>
      <c r="E67" s="5">
        <v>1191</v>
      </c>
      <c r="F67" s="5">
        <v>139</v>
      </c>
      <c r="G67" s="7">
        <f t="shared" si="2"/>
        <v>0.98920265780730898</v>
      </c>
    </row>
    <row r="68" spans="1:7" x14ac:dyDescent="0.25">
      <c r="A68" s="15" t="s">
        <v>214</v>
      </c>
      <c r="B68" s="5" t="s">
        <v>291</v>
      </c>
      <c r="C68" s="5" t="s">
        <v>285</v>
      </c>
      <c r="D68" s="5">
        <v>1675</v>
      </c>
      <c r="E68" s="5">
        <v>1651</v>
      </c>
      <c r="F68" s="5">
        <v>256</v>
      </c>
      <c r="G68" s="7">
        <f t="shared" si="2"/>
        <v>0.98567164179104483</v>
      </c>
    </row>
    <row r="69" spans="1:7" x14ac:dyDescent="0.25">
      <c r="A69" s="15" t="s">
        <v>214</v>
      </c>
      <c r="B69" s="5" t="s">
        <v>292</v>
      </c>
      <c r="C69" s="5" t="s">
        <v>285</v>
      </c>
      <c r="D69" s="5">
        <v>2000</v>
      </c>
      <c r="E69" s="5">
        <v>1953</v>
      </c>
      <c r="F69" s="5">
        <v>331</v>
      </c>
      <c r="G69" s="7">
        <f t="shared" si="2"/>
        <v>0.97650000000000003</v>
      </c>
    </row>
    <row r="70" spans="1:7" x14ac:dyDescent="0.25">
      <c r="A70" s="15" t="s">
        <v>214</v>
      </c>
      <c r="B70" s="5" t="s">
        <v>293</v>
      </c>
      <c r="C70" s="5" t="s">
        <v>285</v>
      </c>
      <c r="D70" s="5">
        <v>1954</v>
      </c>
      <c r="E70" s="5">
        <v>1884</v>
      </c>
      <c r="F70" s="5">
        <v>283</v>
      </c>
      <c r="G70" s="7">
        <f t="shared" si="2"/>
        <v>0.96417604912998978</v>
      </c>
    </row>
    <row r="71" spans="1:7" x14ac:dyDescent="0.25">
      <c r="A71" s="15" t="s">
        <v>214</v>
      </c>
      <c r="B71" s="5" t="s">
        <v>294</v>
      </c>
      <c r="C71" s="5" t="s">
        <v>295</v>
      </c>
      <c r="D71" s="5">
        <v>319</v>
      </c>
      <c r="E71" s="5">
        <v>315</v>
      </c>
      <c r="F71" s="5">
        <v>51</v>
      </c>
      <c r="G71" s="7">
        <f t="shared" si="2"/>
        <v>0.98746081504702199</v>
      </c>
    </row>
    <row r="72" spans="1:7" x14ac:dyDescent="0.25">
      <c r="A72" s="16" t="s">
        <v>263</v>
      </c>
      <c r="B72" s="5" t="s">
        <v>43</v>
      </c>
      <c r="C72" s="5" t="s">
        <v>285</v>
      </c>
      <c r="D72" s="5">
        <v>491</v>
      </c>
      <c r="E72" s="5">
        <v>444</v>
      </c>
      <c r="F72" s="5">
        <v>181</v>
      </c>
      <c r="G72" s="7">
        <f t="shared" si="2"/>
        <v>0.90427698574338089</v>
      </c>
    </row>
    <row r="73" spans="1:7" x14ac:dyDescent="0.25">
      <c r="A73" s="16" t="s">
        <v>263</v>
      </c>
      <c r="B73" s="5" t="s">
        <v>286</v>
      </c>
      <c r="C73" s="5" t="s">
        <v>285</v>
      </c>
      <c r="D73" s="5">
        <v>365</v>
      </c>
      <c r="E73" s="5">
        <v>361</v>
      </c>
      <c r="F73" s="5">
        <v>71</v>
      </c>
      <c r="G73" s="7">
        <f t="shared" si="2"/>
        <v>0.989041095890411</v>
      </c>
    </row>
    <row r="74" spans="1:7" x14ac:dyDescent="0.25">
      <c r="A74" s="16" t="s">
        <v>263</v>
      </c>
      <c r="B74" s="5" t="s">
        <v>287</v>
      </c>
      <c r="C74" s="5" t="s">
        <v>285</v>
      </c>
      <c r="D74" s="5">
        <v>322</v>
      </c>
      <c r="E74" s="5">
        <v>302</v>
      </c>
      <c r="F74" s="5">
        <v>2</v>
      </c>
      <c r="G74" s="7">
        <f t="shared" si="2"/>
        <v>0.93788819875776397</v>
      </c>
    </row>
    <row r="75" spans="1:7" x14ac:dyDescent="0.25">
      <c r="A75" s="16" t="s">
        <v>263</v>
      </c>
      <c r="B75" s="5" t="s">
        <v>288</v>
      </c>
      <c r="C75" s="5" t="s">
        <v>285</v>
      </c>
      <c r="D75" s="5">
        <v>91</v>
      </c>
      <c r="E75" s="5">
        <v>83</v>
      </c>
      <c r="F75" s="5">
        <v>13</v>
      </c>
      <c r="G75" s="7">
        <f t="shared" si="2"/>
        <v>0.91208791208791207</v>
      </c>
    </row>
    <row r="76" spans="1:7" x14ac:dyDescent="0.25">
      <c r="A76" s="16" t="s">
        <v>263</v>
      </c>
      <c r="B76" s="5" t="s">
        <v>289</v>
      </c>
      <c r="C76" s="5" t="s">
        <v>285</v>
      </c>
      <c r="D76" s="5">
        <v>206</v>
      </c>
      <c r="E76" s="5">
        <v>206</v>
      </c>
      <c r="F76" s="5">
        <v>5</v>
      </c>
      <c r="G76" s="7">
        <f t="shared" si="2"/>
        <v>1</v>
      </c>
    </row>
    <row r="77" spans="1:7" x14ac:dyDescent="0.25">
      <c r="A77" s="16" t="s">
        <v>263</v>
      </c>
      <c r="B77" s="5" t="s">
        <v>290</v>
      </c>
      <c r="C77" s="5" t="s">
        <v>285</v>
      </c>
      <c r="D77" s="5">
        <v>269</v>
      </c>
      <c r="E77" s="5">
        <v>262</v>
      </c>
      <c r="F77" s="5">
        <v>4</v>
      </c>
      <c r="G77" s="7">
        <f t="shared" si="2"/>
        <v>0.97397769516728627</v>
      </c>
    </row>
    <row r="78" spans="1:7" x14ac:dyDescent="0.25">
      <c r="A78" s="16" t="s">
        <v>263</v>
      </c>
      <c r="B78" s="5" t="s">
        <v>291</v>
      </c>
      <c r="C78" s="5" t="s">
        <v>285</v>
      </c>
      <c r="D78" s="5">
        <v>330</v>
      </c>
      <c r="E78" s="5">
        <v>327</v>
      </c>
      <c r="F78" s="5">
        <v>70</v>
      </c>
      <c r="G78" s="7">
        <f t="shared" si="2"/>
        <v>0.99090909090909096</v>
      </c>
    </row>
    <row r="79" spans="1:7" x14ac:dyDescent="0.25">
      <c r="A79" s="16" t="s">
        <v>263</v>
      </c>
      <c r="B79" s="5" t="s">
        <v>292</v>
      </c>
      <c r="C79" s="5" t="s">
        <v>285</v>
      </c>
      <c r="D79" s="5">
        <v>460</v>
      </c>
      <c r="E79" s="5">
        <v>454</v>
      </c>
      <c r="F79" s="5">
        <v>79</v>
      </c>
      <c r="G79" s="7">
        <f t="shared" si="2"/>
        <v>0.9869565217391304</v>
      </c>
    </row>
    <row r="80" spans="1:7" x14ac:dyDescent="0.25">
      <c r="A80" s="16" t="s">
        <v>263</v>
      </c>
      <c r="B80" s="5" t="s">
        <v>293</v>
      </c>
      <c r="C80" s="5" t="s">
        <v>285</v>
      </c>
      <c r="D80" s="5">
        <v>536</v>
      </c>
      <c r="E80" s="5">
        <v>522</v>
      </c>
      <c r="F80" s="5">
        <v>115</v>
      </c>
      <c r="G80" s="7">
        <f t="shared" si="2"/>
        <v>0.97388059701492535</v>
      </c>
    </row>
    <row r="81" spans="1:7" x14ac:dyDescent="0.25">
      <c r="A81" s="16" t="s">
        <v>263</v>
      </c>
      <c r="B81" s="5" t="s">
        <v>294</v>
      </c>
      <c r="C81" s="5" t="s">
        <v>295</v>
      </c>
      <c r="D81" s="5">
        <v>129</v>
      </c>
      <c r="E81" s="5">
        <v>112</v>
      </c>
      <c r="F81" s="5">
        <v>17</v>
      </c>
      <c r="G81" s="7">
        <f t="shared" si="2"/>
        <v>0.86821705426356588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theme="7"/>
  </sheetPr>
  <dimension ref="A1:L27"/>
  <sheetViews>
    <sheetView zoomScaleNormal="100" workbookViewId="0">
      <selection activeCell="A10" sqref="A10"/>
    </sheetView>
  </sheetViews>
  <sheetFormatPr baseColWidth="10" defaultColWidth="8.7109375" defaultRowHeight="15" x14ac:dyDescent="0.25"/>
  <cols>
    <col min="1" max="1" width="18" style="2" customWidth="1"/>
    <col min="2" max="2" width="14" style="2" customWidth="1"/>
    <col min="3" max="12" width="11" style="2" customWidth="1"/>
    <col min="13" max="13" width="8.7109375" style="2" customWidth="1"/>
    <col min="14" max="16384" width="8.7109375" style="2"/>
  </cols>
  <sheetData>
    <row r="1" spans="1:12" ht="21.75" customHeight="1" x14ac:dyDescent="0.25">
      <c r="A1" s="104" t="s">
        <v>296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2" ht="15" customHeight="1" x14ac:dyDescent="0.25">
      <c r="A2" s="106" t="s">
        <v>58</v>
      </c>
      <c r="B2" s="106" t="s">
        <v>41</v>
      </c>
      <c r="C2" s="105" t="s">
        <v>43</v>
      </c>
      <c r="D2" s="88"/>
      <c r="E2" s="88"/>
      <c r="F2" s="88"/>
      <c r="G2" s="88"/>
      <c r="H2" s="88"/>
      <c r="I2" s="88"/>
      <c r="J2" s="88"/>
      <c r="K2" s="88"/>
      <c r="L2" s="88"/>
    </row>
    <row r="3" spans="1:12" x14ac:dyDescent="0.25">
      <c r="A3" s="107"/>
      <c r="B3" s="10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x14ac:dyDescent="0.25">
      <c r="A4" s="4" t="s">
        <v>10</v>
      </c>
      <c r="B4" s="66" t="s">
        <v>297</v>
      </c>
      <c r="C4" s="6">
        <v>16159</v>
      </c>
      <c r="D4" s="6">
        <v>19221</v>
      </c>
      <c r="E4" s="6">
        <v>24303</v>
      </c>
      <c r="F4" s="6">
        <v>15554</v>
      </c>
      <c r="G4" s="6">
        <v>26914</v>
      </c>
      <c r="H4" s="6">
        <v>30497</v>
      </c>
      <c r="I4" s="6">
        <v>34272</v>
      </c>
      <c r="J4" s="6">
        <v>33940</v>
      </c>
      <c r="K4" s="6">
        <v>40546</v>
      </c>
      <c r="L4" s="6">
        <v>8945</v>
      </c>
    </row>
    <row r="5" spans="1:12" x14ac:dyDescent="0.25">
      <c r="A5" s="4"/>
      <c r="B5" s="66" t="s">
        <v>298</v>
      </c>
      <c r="C5" s="6">
        <v>14326</v>
      </c>
      <c r="D5" s="6">
        <v>18989</v>
      </c>
      <c r="E5" s="6">
        <v>23560</v>
      </c>
      <c r="F5" s="6">
        <v>11704</v>
      </c>
      <c r="G5" s="6">
        <v>26464</v>
      </c>
      <c r="H5" s="6">
        <v>30280</v>
      </c>
      <c r="I5" s="6">
        <v>33822</v>
      </c>
      <c r="J5" s="6">
        <v>33513</v>
      </c>
      <c r="K5" s="6">
        <v>40027</v>
      </c>
      <c r="L5" s="6">
        <v>8904</v>
      </c>
    </row>
    <row r="6" spans="1:12" x14ac:dyDescent="0.25">
      <c r="A6" s="4"/>
      <c r="B6" s="50" t="s">
        <v>299</v>
      </c>
      <c r="C6" s="67">
        <v>4470</v>
      </c>
      <c r="D6" s="67">
        <v>2517</v>
      </c>
      <c r="E6" s="67">
        <v>80</v>
      </c>
      <c r="F6" s="67">
        <v>229</v>
      </c>
      <c r="G6" s="67">
        <v>84</v>
      </c>
      <c r="H6" s="67">
        <v>25</v>
      </c>
      <c r="I6" s="67">
        <v>28</v>
      </c>
      <c r="J6" s="67">
        <v>31</v>
      </c>
      <c r="K6" s="67">
        <v>43</v>
      </c>
      <c r="L6" s="67">
        <v>8</v>
      </c>
    </row>
    <row r="7" spans="1:12" x14ac:dyDescent="0.25">
      <c r="A7" s="10" t="s">
        <v>11</v>
      </c>
      <c r="B7" s="66" t="s">
        <v>297</v>
      </c>
      <c r="C7" s="6">
        <v>2802</v>
      </c>
      <c r="D7" s="6">
        <v>1831</v>
      </c>
      <c r="E7" s="6">
        <v>2531</v>
      </c>
      <c r="F7" s="6">
        <v>1640</v>
      </c>
      <c r="G7" s="6">
        <v>2905</v>
      </c>
      <c r="H7" s="6">
        <v>3590</v>
      </c>
      <c r="I7" s="6">
        <v>3610</v>
      </c>
      <c r="J7" s="6">
        <v>3386</v>
      </c>
      <c r="K7" s="6">
        <v>2895</v>
      </c>
      <c r="L7" s="6">
        <v>506</v>
      </c>
    </row>
    <row r="8" spans="1:12" x14ac:dyDescent="0.25">
      <c r="A8" s="10"/>
      <c r="B8" s="66" t="s">
        <v>298</v>
      </c>
      <c r="C8" s="6">
        <v>2742</v>
      </c>
      <c r="D8" s="6">
        <v>1787</v>
      </c>
      <c r="E8" s="6">
        <v>2434</v>
      </c>
      <c r="F8" s="6">
        <v>1322</v>
      </c>
      <c r="G8" s="6">
        <v>2858</v>
      </c>
      <c r="H8" s="6">
        <v>3526</v>
      </c>
      <c r="I8" s="6">
        <v>3575</v>
      </c>
      <c r="J8" s="6">
        <v>3374</v>
      </c>
      <c r="K8" s="6">
        <v>2824</v>
      </c>
      <c r="L8" s="6">
        <v>489</v>
      </c>
    </row>
    <row r="9" spans="1:12" x14ac:dyDescent="0.25">
      <c r="A9" s="10"/>
      <c r="B9" s="50" t="s">
        <v>299</v>
      </c>
      <c r="C9" s="67">
        <v>370</v>
      </c>
      <c r="D9" s="67">
        <v>114</v>
      </c>
      <c r="E9" s="67">
        <v>5</v>
      </c>
      <c r="F9" s="67">
        <v>14</v>
      </c>
      <c r="G9" s="67">
        <v>89</v>
      </c>
      <c r="H9" s="67">
        <v>84</v>
      </c>
      <c r="I9" s="67">
        <v>149</v>
      </c>
      <c r="J9" s="67">
        <v>45</v>
      </c>
      <c r="K9" s="67">
        <v>45</v>
      </c>
      <c r="L9" s="67">
        <v>9</v>
      </c>
    </row>
    <row r="10" spans="1:12" x14ac:dyDescent="0.25">
      <c r="A10" s="11" t="s">
        <v>14</v>
      </c>
      <c r="B10" s="66" t="s">
        <v>297</v>
      </c>
      <c r="C10" s="6">
        <v>905</v>
      </c>
      <c r="D10" s="6">
        <v>1225</v>
      </c>
      <c r="E10" s="6">
        <v>1535</v>
      </c>
      <c r="F10" s="6">
        <v>932</v>
      </c>
      <c r="G10" s="6">
        <v>1347</v>
      </c>
      <c r="H10" s="6">
        <v>1640</v>
      </c>
      <c r="I10" s="6">
        <v>1813</v>
      </c>
      <c r="J10" s="6">
        <v>2228</v>
      </c>
      <c r="K10" s="6">
        <v>2904</v>
      </c>
      <c r="L10" s="6">
        <v>646</v>
      </c>
    </row>
    <row r="11" spans="1:12" x14ac:dyDescent="0.25">
      <c r="A11" s="11"/>
      <c r="B11" s="66" t="s">
        <v>298</v>
      </c>
      <c r="C11" s="6">
        <v>905</v>
      </c>
      <c r="D11" s="6">
        <v>1221</v>
      </c>
      <c r="E11" s="6">
        <v>1528</v>
      </c>
      <c r="F11" s="6">
        <v>870</v>
      </c>
      <c r="G11" s="6">
        <v>1344</v>
      </c>
      <c r="H11" s="6">
        <v>1636</v>
      </c>
      <c r="I11" s="6">
        <v>1806</v>
      </c>
      <c r="J11" s="6">
        <v>2219</v>
      </c>
      <c r="K11" s="6">
        <v>2883</v>
      </c>
      <c r="L11" s="6">
        <v>646</v>
      </c>
    </row>
    <row r="12" spans="1:12" x14ac:dyDescent="0.25">
      <c r="A12" s="11"/>
      <c r="B12" s="50" t="s">
        <v>299</v>
      </c>
      <c r="C12" s="67">
        <v>245</v>
      </c>
      <c r="D12" s="67">
        <v>453</v>
      </c>
      <c r="E12" s="67">
        <v>352</v>
      </c>
      <c r="F12" s="67">
        <v>118</v>
      </c>
      <c r="G12" s="67">
        <v>218</v>
      </c>
      <c r="H12" s="67">
        <v>230</v>
      </c>
      <c r="I12" s="67">
        <v>306</v>
      </c>
      <c r="J12" s="67">
        <v>309</v>
      </c>
      <c r="K12" s="67">
        <v>491</v>
      </c>
      <c r="L12" s="67">
        <v>124</v>
      </c>
    </row>
    <row r="13" spans="1:12" x14ac:dyDescent="0.25">
      <c r="A13" s="12" t="s">
        <v>225</v>
      </c>
      <c r="B13" s="66" t="s">
        <v>297</v>
      </c>
      <c r="C13" s="6"/>
      <c r="D13" s="6"/>
      <c r="E13" s="6"/>
      <c r="F13" s="6"/>
      <c r="G13" s="6">
        <v>1774</v>
      </c>
      <c r="H13" s="6">
        <v>1988</v>
      </c>
      <c r="I13" s="6">
        <v>2030</v>
      </c>
      <c r="J13" s="6">
        <v>2505</v>
      </c>
      <c r="K13" s="6">
        <v>2424</v>
      </c>
      <c r="L13" s="6">
        <v>413</v>
      </c>
    </row>
    <row r="14" spans="1:12" x14ac:dyDescent="0.25">
      <c r="A14" s="12"/>
      <c r="B14" s="66" t="s">
        <v>298</v>
      </c>
      <c r="C14" s="6"/>
      <c r="D14" s="6"/>
      <c r="E14" s="6"/>
      <c r="F14" s="6"/>
      <c r="G14" s="6">
        <v>1758</v>
      </c>
      <c r="H14" s="6">
        <v>1981</v>
      </c>
      <c r="I14" s="6">
        <v>2029</v>
      </c>
      <c r="J14" s="6">
        <v>2497</v>
      </c>
      <c r="K14" s="6">
        <v>2421</v>
      </c>
      <c r="L14" s="6">
        <v>413</v>
      </c>
    </row>
    <row r="15" spans="1:12" x14ac:dyDescent="0.25">
      <c r="A15" s="12"/>
      <c r="B15" s="50" t="s">
        <v>299</v>
      </c>
      <c r="C15" s="67"/>
      <c r="D15" s="67"/>
      <c r="E15" s="67"/>
      <c r="F15" s="67"/>
      <c r="G15" s="67">
        <v>179</v>
      </c>
      <c r="H15" s="67">
        <v>19</v>
      </c>
      <c r="I15" s="67">
        <v>24</v>
      </c>
      <c r="J15" s="67">
        <v>162</v>
      </c>
      <c r="K15" s="67">
        <v>63</v>
      </c>
      <c r="L15" s="67">
        <v>10</v>
      </c>
    </row>
    <row r="16" spans="1:12" x14ac:dyDescent="0.25">
      <c r="A16" s="13" t="s">
        <v>12</v>
      </c>
      <c r="B16" s="66" t="s">
        <v>297</v>
      </c>
      <c r="C16" s="6"/>
      <c r="D16" s="6"/>
      <c r="E16" s="6"/>
      <c r="F16" s="6">
        <v>565</v>
      </c>
      <c r="G16" s="6">
        <v>2522</v>
      </c>
      <c r="H16" s="6">
        <v>3220</v>
      </c>
      <c r="I16" s="6">
        <v>4073</v>
      </c>
      <c r="J16" s="6">
        <v>5763</v>
      </c>
      <c r="K16" s="6">
        <v>6702</v>
      </c>
      <c r="L16" s="6">
        <v>1019</v>
      </c>
    </row>
    <row r="17" spans="1:12" x14ac:dyDescent="0.25">
      <c r="A17" s="13"/>
      <c r="B17" s="66" t="s">
        <v>298</v>
      </c>
      <c r="C17" s="6"/>
      <c r="D17" s="6"/>
      <c r="E17" s="6"/>
      <c r="F17" s="6">
        <v>554</v>
      </c>
      <c r="G17" s="6">
        <v>2502</v>
      </c>
      <c r="H17" s="6">
        <v>3171</v>
      </c>
      <c r="I17" s="6">
        <v>4033</v>
      </c>
      <c r="J17" s="6">
        <v>5750</v>
      </c>
      <c r="K17" s="6">
        <v>6677</v>
      </c>
      <c r="L17" s="6">
        <v>1018</v>
      </c>
    </row>
    <row r="18" spans="1:12" x14ac:dyDescent="0.25">
      <c r="A18" s="13"/>
      <c r="B18" s="50" t="s">
        <v>299</v>
      </c>
      <c r="C18" s="67"/>
      <c r="D18" s="67"/>
      <c r="E18" s="67"/>
      <c r="F18" s="67">
        <v>39</v>
      </c>
      <c r="G18" s="67">
        <v>108</v>
      </c>
      <c r="H18" s="67">
        <v>173</v>
      </c>
      <c r="I18" s="67">
        <v>53</v>
      </c>
      <c r="J18" s="67">
        <v>59</v>
      </c>
      <c r="K18" s="67">
        <v>263</v>
      </c>
      <c r="L18" s="67">
        <v>12</v>
      </c>
    </row>
    <row r="19" spans="1:12" x14ac:dyDescent="0.25">
      <c r="A19" s="14" t="s">
        <v>262</v>
      </c>
      <c r="B19" s="66" t="s">
        <v>297</v>
      </c>
      <c r="C19" s="6">
        <v>455</v>
      </c>
      <c r="D19" s="6">
        <v>727</v>
      </c>
      <c r="E19" s="6">
        <v>1204</v>
      </c>
      <c r="F19" s="6">
        <v>696</v>
      </c>
      <c r="G19" s="6">
        <v>1246</v>
      </c>
      <c r="H19" s="6">
        <v>1443</v>
      </c>
      <c r="I19" s="6">
        <v>1616</v>
      </c>
      <c r="J19" s="6">
        <v>2056</v>
      </c>
      <c r="K19" s="6">
        <v>2866</v>
      </c>
      <c r="L19" s="6">
        <v>699</v>
      </c>
    </row>
    <row r="20" spans="1:12" x14ac:dyDescent="0.25">
      <c r="A20" s="14"/>
      <c r="B20" s="66" t="s">
        <v>298</v>
      </c>
      <c r="C20" s="6">
        <v>453</v>
      </c>
      <c r="D20" s="6">
        <v>725</v>
      </c>
      <c r="E20" s="6">
        <v>1180</v>
      </c>
      <c r="F20" s="6">
        <v>572</v>
      </c>
      <c r="G20" s="6">
        <v>1238</v>
      </c>
      <c r="H20" s="6">
        <v>1441</v>
      </c>
      <c r="I20" s="6">
        <v>1610</v>
      </c>
      <c r="J20" s="6">
        <v>2056</v>
      </c>
      <c r="K20" s="6">
        <v>2863</v>
      </c>
      <c r="L20" s="6">
        <v>699</v>
      </c>
    </row>
    <row r="21" spans="1:12" x14ac:dyDescent="0.25">
      <c r="A21" s="14"/>
      <c r="B21" s="50" t="s">
        <v>299</v>
      </c>
      <c r="C21" s="67">
        <v>101</v>
      </c>
      <c r="D21" s="67">
        <v>20</v>
      </c>
      <c r="E21" s="67">
        <v>3</v>
      </c>
      <c r="F21" s="67">
        <v>19</v>
      </c>
      <c r="G21" s="67">
        <v>86</v>
      </c>
      <c r="H21" s="67">
        <v>78</v>
      </c>
      <c r="I21" s="67">
        <v>139</v>
      </c>
      <c r="J21" s="67">
        <v>87</v>
      </c>
      <c r="K21" s="67">
        <v>267</v>
      </c>
      <c r="L21" s="67">
        <v>48</v>
      </c>
    </row>
    <row r="22" spans="1:12" x14ac:dyDescent="0.25">
      <c r="A22" s="15" t="s">
        <v>214</v>
      </c>
      <c r="B22" s="66" t="s">
        <v>297</v>
      </c>
      <c r="C22" s="6">
        <v>877</v>
      </c>
      <c r="D22" s="6">
        <v>861</v>
      </c>
      <c r="E22" s="6">
        <v>981</v>
      </c>
      <c r="F22" s="6">
        <v>553</v>
      </c>
      <c r="G22" s="6">
        <v>924</v>
      </c>
      <c r="H22" s="6">
        <v>1204</v>
      </c>
      <c r="I22" s="6">
        <v>1675</v>
      </c>
      <c r="J22" s="6">
        <v>2000</v>
      </c>
      <c r="K22" s="6">
        <v>1954</v>
      </c>
      <c r="L22" s="6">
        <v>319</v>
      </c>
    </row>
    <row r="23" spans="1:12" x14ac:dyDescent="0.25">
      <c r="A23" s="15"/>
      <c r="B23" s="66" t="s">
        <v>298</v>
      </c>
      <c r="C23" s="6">
        <v>835</v>
      </c>
      <c r="D23" s="6">
        <v>841</v>
      </c>
      <c r="E23" s="6">
        <v>906</v>
      </c>
      <c r="F23" s="6">
        <v>398</v>
      </c>
      <c r="G23" s="6">
        <v>901</v>
      </c>
      <c r="H23" s="6">
        <v>1191</v>
      </c>
      <c r="I23" s="6">
        <v>1651</v>
      </c>
      <c r="J23" s="6">
        <v>1953</v>
      </c>
      <c r="K23" s="6">
        <v>1884</v>
      </c>
      <c r="L23" s="6">
        <v>315</v>
      </c>
    </row>
    <row r="24" spans="1:12" x14ac:dyDescent="0.25">
      <c r="A24" s="15"/>
      <c r="B24" s="50" t="s">
        <v>299</v>
      </c>
      <c r="C24" s="67">
        <v>243</v>
      </c>
      <c r="D24" s="67">
        <v>14</v>
      </c>
      <c r="E24" s="67">
        <v>41</v>
      </c>
      <c r="F24" s="67">
        <v>41</v>
      </c>
      <c r="G24" s="67">
        <v>64</v>
      </c>
      <c r="H24" s="67">
        <v>139</v>
      </c>
      <c r="I24" s="67">
        <v>256</v>
      </c>
      <c r="J24" s="67">
        <v>331</v>
      </c>
      <c r="K24" s="67">
        <v>283</v>
      </c>
      <c r="L24" s="67">
        <v>51</v>
      </c>
    </row>
    <row r="25" spans="1:12" x14ac:dyDescent="0.25">
      <c r="A25" s="16" t="s">
        <v>263</v>
      </c>
      <c r="B25" s="66" t="s">
        <v>297</v>
      </c>
      <c r="C25" s="6">
        <v>491</v>
      </c>
      <c r="D25" s="6">
        <v>365</v>
      </c>
      <c r="E25" s="6">
        <v>322</v>
      </c>
      <c r="F25" s="6">
        <v>91</v>
      </c>
      <c r="G25" s="6">
        <v>206</v>
      </c>
      <c r="H25" s="6">
        <v>269</v>
      </c>
      <c r="I25" s="6">
        <v>330</v>
      </c>
      <c r="J25" s="6">
        <v>460</v>
      </c>
      <c r="K25" s="6">
        <v>536</v>
      </c>
      <c r="L25" s="6">
        <v>129</v>
      </c>
    </row>
    <row r="26" spans="1:12" x14ac:dyDescent="0.25">
      <c r="A26" s="16"/>
      <c r="B26" s="66" t="s">
        <v>298</v>
      </c>
      <c r="C26" s="6">
        <v>444</v>
      </c>
      <c r="D26" s="6">
        <v>361</v>
      </c>
      <c r="E26" s="6">
        <v>302</v>
      </c>
      <c r="F26" s="6">
        <v>83</v>
      </c>
      <c r="G26" s="6">
        <v>206</v>
      </c>
      <c r="H26" s="6">
        <v>262</v>
      </c>
      <c r="I26" s="6">
        <v>327</v>
      </c>
      <c r="J26" s="6">
        <v>454</v>
      </c>
      <c r="K26" s="6">
        <v>522</v>
      </c>
      <c r="L26" s="6">
        <v>112</v>
      </c>
    </row>
    <row r="27" spans="1:12" x14ac:dyDescent="0.25">
      <c r="A27" s="16"/>
      <c r="B27" s="50" t="s">
        <v>299</v>
      </c>
      <c r="C27" s="67">
        <v>181</v>
      </c>
      <c r="D27" s="67">
        <v>71</v>
      </c>
      <c r="E27" s="67">
        <v>2</v>
      </c>
      <c r="F27" s="67">
        <v>13</v>
      </c>
      <c r="G27" s="67">
        <v>5</v>
      </c>
      <c r="H27" s="67">
        <v>4</v>
      </c>
      <c r="I27" s="67">
        <v>70</v>
      </c>
      <c r="J27" s="67">
        <v>79</v>
      </c>
      <c r="K27" s="67">
        <v>115</v>
      </c>
      <c r="L27" s="67">
        <v>17</v>
      </c>
    </row>
  </sheetData>
  <mergeCells count="4">
    <mergeCell ref="A1:L1"/>
    <mergeCell ref="C2:L2"/>
    <mergeCell ref="A2:A3"/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</sheetPr>
  <dimension ref="A1:D15"/>
  <sheetViews>
    <sheetView tabSelected="1" workbookViewId="0">
      <selection activeCell="D30" sqref="D30"/>
    </sheetView>
  </sheetViews>
  <sheetFormatPr baseColWidth="10" defaultColWidth="9.140625" defaultRowHeight="15" x14ac:dyDescent="0.25"/>
  <cols>
    <col min="1" max="1" width="129.5703125" bestFit="1" customWidth="1"/>
    <col min="2" max="2" width="16.28515625" bestFit="1" customWidth="1"/>
    <col min="3" max="3" width="21.42578125" bestFit="1" customWidth="1"/>
    <col min="4" max="4" width="20.42578125" bestFit="1" customWidth="1"/>
  </cols>
  <sheetData>
    <row r="1" spans="1:4" ht="15" customHeight="1" x14ac:dyDescent="0.25">
      <c r="A1" s="47" t="s">
        <v>300</v>
      </c>
      <c r="B1" s="47" t="s">
        <v>301</v>
      </c>
      <c r="C1" s="47" t="s">
        <v>302</v>
      </c>
      <c r="D1" s="47" t="s">
        <v>303</v>
      </c>
    </row>
    <row r="2" spans="1:4" x14ac:dyDescent="0.25">
      <c r="A2" s="50" t="s">
        <v>304</v>
      </c>
      <c r="B2" s="67">
        <v>2380</v>
      </c>
      <c r="C2" s="67">
        <v>3049</v>
      </c>
      <c r="D2" s="67">
        <v>28.1</v>
      </c>
    </row>
    <row r="3" spans="1:4" x14ac:dyDescent="0.25">
      <c r="A3" s="66" t="s">
        <v>305</v>
      </c>
      <c r="B3" s="6">
        <v>1100</v>
      </c>
      <c r="C3" s="6">
        <v>2069</v>
      </c>
      <c r="D3" s="6">
        <v>88.1</v>
      </c>
    </row>
    <row r="4" spans="1:4" x14ac:dyDescent="0.25">
      <c r="A4" s="50" t="s">
        <v>306</v>
      </c>
      <c r="B4" s="67">
        <v>1100</v>
      </c>
      <c r="C4" s="67">
        <v>1512</v>
      </c>
      <c r="D4" s="67">
        <v>37.5</v>
      </c>
    </row>
    <row r="5" spans="1:4" x14ac:dyDescent="0.25">
      <c r="A5" s="66" t="s">
        <v>307</v>
      </c>
      <c r="B5" s="6">
        <v>550</v>
      </c>
      <c r="C5" s="6">
        <v>1354</v>
      </c>
      <c r="D5" s="6">
        <v>146.19999999999999</v>
      </c>
    </row>
    <row r="6" spans="1:4" x14ac:dyDescent="0.25">
      <c r="A6" s="50" t="s">
        <v>308</v>
      </c>
      <c r="B6" s="67">
        <v>550</v>
      </c>
      <c r="C6" s="67">
        <v>1348</v>
      </c>
      <c r="D6" s="67">
        <v>145.1</v>
      </c>
    </row>
    <row r="7" spans="1:4" x14ac:dyDescent="0.25">
      <c r="A7" s="66" t="s">
        <v>309</v>
      </c>
      <c r="B7" s="6">
        <v>810</v>
      </c>
      <c r="C7" s="6">
        <v>1316</v>
      </c>
      <c r="D7" s="6">
        <v>62.5</v>
      </c>
    </row>
    <row r="8" spans="1:4" x14ac:dyDescent="0.25">
      <c r="A8" s="50" t="s">
        <v>310</v>
      </c>
      <c r="B8" s="67">
        <v>810</v>
      </c>
      <c r="C8" s="67">
        <v>1255</v>
      </c>
      <c r="D8" s="67">
        <v>54.9</v>
      </c>
    </row>
    <row r="9" spans="1:4" x14ac:dyDescent="0.25">
      <c r="A9" s="66" t="s">
        <v>311</v>
      </c>
      <c r="B9" s="6">
        <v>810</v>
      </c>
      <c r="C9" s="6">
        <v>1254</v>
      </c>
      <c r="D9" s="6">
        <v>54.8</v>
      </c>
    </row>
    <row r="10" spans="1:4" x14ac:dyDescent="0.25">
      <c r="A10" s="50" t="s">
        <v>312</v>
      </c>
      <c r="B10" s="67">
        <v>850</v>
      </c>
      <c r="C10" s="67">
        <v>1152</v>
      </c>
      <c r="D10" s="67">
        <v>35.5</v>
      </c>
    </row>
    <row r="11" spans="1:4" x14ac:dyDescent="0.25">
      <c r="A11" s="66" t="s">
        <v>313</v>
      </c>
      <c r="B11" s="6">
        <v>810</v>
      </c>
      <c r="C11" s="6">
        <v>1068</v>
      </c>
      <c r="D11" s="6">
        <v>31.9</v>
      </c>
    </row>
    <row r="12" spans="1:4" x14ac:dyDescent="0.25">
      <c r="A12" s="50" t="s">
        <v>314</v>
      </c>
      <c r="B12" s="67">
        <v>180</v>
      </c>
      <c r="C12" s="67">
        <v>329</v>
      </c>
      <c r="D12" s="67">
        <v>82.8</v>
      </c>
    </row>
    <row r="13" spans="1:4" x14ac:dyDescent="0.25">
      <c r="A13" s="66" t="s">
        <v>315</v>
      </c>
      <c r="B13" s="6">
        <v>180</v>
      </c>
      <c r="C13" s="6">
        <v>310</v>
      </c>
      <c r="D13" s="6">
        <v>72.2</v>
      </c>
    </row>
    <row r="14" spans="1:4" x14ac:dyDescent="0.25">
      <c r="A14" s="50" t="s">
        <v>316</v>
      </c>
      <c r="B14" s="67">
        <v>90</v>
      </c>
      <c r="C14" s="67">
        <v>296</v>
      </c>
      <c r="D14" s="67">
        <v>228.9</v>
      </c>
    </row>
    <row r="15" spans="1:4" x14ac:dyDescent="0.25">
      <c r="A15" s="66" t="s">
        <v>317</v>
      </c>
      <c r="B15" s="6">
        <v>90</v>
      </c>
      <c r="C15" s="6">
        <v>267</v>
      </c>
      <c r="D15" s="6">
        <v>196.7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H9"/>
  <sheetViews>
    <sheetView workbookViewId="0">
      <selection activeCell="A2" sqref="A2:A9"/>
    </sheetView>
  </sheetViews>
  <sheetFormatPr baseColWidth="10" defaultColWidth="9.140625" defaultRowHeight="15" x14ac:dyDescent="0.25"/>
  <cols>
    <col min="1" max="1" width="11" bestFit="1" customWidth="1"/>
  </cols>
  <sheetData>
    <row r="1" spans="1:8" ht="25.5" x14ac:dyDescent="0.25">
      <c r="A1" s="47" t="s">
        <v>318</v>
      </c>
      <c r="B1" s="47" t="s">
        <v>319</v>
      </c>
      <c r="C1" s="47" t="s">
        <v>44</v>
      </c>
      <c r="D1" s="47" t="s">
        <v>45</v>
      </c>
      <c r="E1" s="47" t="s">
        <v>46</v>
      </c>
      <c r="F1" s="47" t="s">
        <v>47</v>
      </c>
      <c r="G1" s="47" t="s">
        <v>48</v>
      </c>
      <c r="H1" s="47" t="s">
        <v>49</v>
      </c>
    </row>
    <row r="2" spans="1:8" x14ac:dyDescent="0.25">
      <c r="A2" s="4" t="s">
        <v>10</v>
      </c>
      <c r="B2" s="50">
        <v>1</v>
      </c>
      <c r="C2" s="67">
        <v>630005</v>
      </c>
      <c r="D2" s="67">
        <v>636085</v>
      </c>
      <c r="E2" s="67">
        <v>642224</v>
      </c>
      <c r="F2" s="50">
        <v>648422</v>
      </c>
      <c r="G2" s="67">
        <v>654680</v>
      </c>
      <c r="H2" s="67">
        <v>660997</v>
      </c>
    </row>
    <row r="3" spans="1:8" x14ac:dyDescent="0.25">
      <c r="A3" s="14" t="s">
        <v>15</v>
      </c>
      <c r="B3" s="66">
        <v>-0.3</v>
      </c>
      <c r="C3" s="6">
        <v>57682</v>
      </c>
      <c r="D3" s="6">
        <v>57531</v>
      </c>
      <c r="E3" s="6">
        <v>57381</v>
      </c>
      <c r="F3" s="66">
        <v>57231</v>
      </c>
      <c r="G3" s="6">
        <v>57082</v>
      </c>
      <c r="H3" s="6">
        <v>56933</v>
      </c>
    </row>
    <row r="4" spans="1:8" x14ac:dyDescent="0.25">
      <c r="A4" s="13" t="s">
        <v>12</v>
      </c>
      <c r="B4" s="50">
        <v>-0.4</v>
      </c>
      <c r="C4" s="67">
        <v>85233</v>
      </c>
      <c r="D4" s="67">
        <v>84879</v>
      </c>
      <c r="E4" s="67">
        <v>84527</v>
      </c>
      <c r="F4" s="50">
        <v>84176</v>
      </c>
      <c r="G4" s="67">
        <v>83826</v>
      </c>
      <c r="H4" s="67">
        <v>83478</v>
      </c>
    </row>
    <row r="5" spans="1:8" x14ac:dyDescent="0.25">
      <c r="A5" s="16" t="s">
        <v>39</v>
      </c>
      <c r="B5" s="66">
        <v>-2</v>
      </c>
      <c r="C5" s="6">
        <v>19472</v>
      </c>
      <c r="D5" s="6">
        <v>19085</v>
      </c>
      <c r="E5" s="6">
        <v>18706</v>
      </c>
      <c r="F5" s="66">
        <v>18334</v>
      </c>
      <c r="G5" s="6">
        <v>17970</v>
      </c>
      <c r="H5" s="6">
        <v>17613</v>
      </c>
    </row>
    <row r="6" spans="1:8" x14ac:dyDescent="0.25">
      <c r="A6" s="10" t="s">
        <v>11</v>
      </c>
      <c r="B6" s="50">
        <v>-1.4</v>
      </c>
      <c r="C6" s="67">
        <v>81895</v>
      </c>
      <c r="D6" s="67">
        <v>80711</v>
      </c>
      <c r="E6" s="67">
        <v>79545</v>
      </c>
      <c r="F6" s="50">
        <v>78396</v>
      </c>
      <c r="G6" s="67">
        <v>77263</v>
      </c>
      <c r="H6" s="67">
        <v>76147</v>
      </c>
    </row>
    <row r="7" spans="1:8" x14ac:dyDescent="0.25">
      <c r="A7" s="15" t="s">
        <v>16</v>
      </c>
      <c r="B7" s="66">
        <v>-1.5</v>
      </c>
      <c r="C7" s="6">
        <v>35505</v>
      </c>
      <c r="D7" s="6">
        <v>34965</v>
      </c>
      <c r="E7" s="6">
        <v>34434</v>
      </c>
      <c r="F7" s="66">
        <v>33910</v>
      </c>
      <c r="G7" s="6">
        <v>33395</v>
      </c>
      <c r="H7" s="6">
        <v>32887</v>
      </c>
    </row>
    <row r="8" spans="1:8" x14ac:dyDescent="0.25">
      <c r="A8" s="11" t="s">
        <v>14</v>
      </c>
      <c r="B8" s="50">
        <v>0.5</v>
      </c>
      <c r="C8" s="67">
        <v>59563</v>
      </c>
      <c r="D8" s="67">
        <v>59871</v>
      </c>
      <c r="E8" s="67">
        <v>60181</v>
      </c>
      <c r="F8" s="50">
        <v>60492</v>
      </c>
      <c r="G8" s="67">
        <v>60805</v>
      </c>
      <c r="H8" s="67">
        <v>61120</v>
      </c>
    </row>
    <row r="9" spans="1:8" x14ac:dyDescent="0.25">
      <c r="A9" s="12" t="s">
        <v>13</v>
      </c>
      <c r="B9" s="66">
        <v>-1.6</v>
      </c>
      <c r="C9" s="6">
        <v>75599</v>
      </c>
      <c r="D9" s="6">
        <v>74426</v>
      </c>
      <c r="E9" s="6">
        <v>73272</v>
      </c>
      <c r="F9" s="66">
        <v>72135</v>
      </c>
      <c r="G9" s="6">
        <v>71016</v>
      </c>
      <c r="H9" s="6">
        <v>69915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66"/>
  </sheetPr>
  <dimension ref="A1:D11"/>
  <sheetViews>
    <sheetView workbookViewId="0">
      <selection activeCell="G31" sqref="G31"/>
    </sheetView>
  </sheetViews>
  <sheetFormatPr baseColWidth="10" defaultColWidth="9.140625" defaultRowHeight="15" x14ac:dyDescent="0.25"/>
  <cols>
    <col min="1" max="1" width="27.28515625" bestFit="1" customWidth="1"/>
    <col min="2" max="4" width="25.140625" customWidth="1"/>
  </cols>
  <sheetData>
    <row r="1" spans="1:4" ht="38.25" x14ac:dyDescent="0.25">
      <c r="A1" s="47" t="s">
        <v>320</v>
      </c>
      <c r="B1" s="47" t="s">
        <v>321</v>
      </c>
      <c r="C1" s="47" t="s">
        <v>322</v>
      </c>
      <c r="D1" s="47" t="s">
        <v>323</v>
      </c>
    </row>
    <row r="2" spans="1:4" x14ac:dyDescent="0.25">
      <c r="A2" s="78" t="s">
        <v>324</v>
      </c>
      <c r="B2" s="79">
        <v>3776</v>
      </c>
      <c r="C2" s="79">
        <v>34038457</v>
      </c>
      <c r="D2" s="79">
        <v>11</v>
      </c>
    </row>
    <row r="3" spans="1:4" x14ac:dyDescent="0.25">
      <c r="A3" s="80" t="s">
        <v>325</v>
      </c>
      <c r="B3" s="81">
        <v>119</v>
      </c>
      <c r="C3" s="81">
        <v>1044954</v>
      </c>
      <c r="D3" s="81">
        <v>11</v>
      </c>
    </row>
    <row r="4" spans="1:4" x14ac:dyDescent="0.25">
      <c r="A4" s="4" t="s">
        <v>326</v>
      </c>
      <c r="B4" s="67">
        <v>78</v>
      </c>
      <c r="C4" s="67">
        <v>630005</v>
      </c>
      <c r="D4" s="67">
        <v>12</v>
      </c>
    </row>
    <row r="5" spans="1:4" x14ac:dyDescent="0.25">
      <c r="A5" s="14" t="s">
        <v>15</v>
      </c>
      <c r="B5" s="6">
        <v>4</v>
      </c>
      <c r="C5" s="6">
        <v>57682</v>
      </c>
      <c r="D5" s="6">
        <v>4</v>
      </c>
    </row>
    <row r="6" spans="1:4" x14ac:dyDescent="0.25">
      <c r="A6" s="13" t="s">
        <v>12</v>
      </c>
      <c r="B6" s="67">
        <v>7</v>
      </c>
      <c r="C6" s="67">
        <v>85233</v>
      </c>
      <c r="D6" s="67">
        <v>7</v>
      </c>
    </row>
    <row r="7" spans="1:4" x14ac:dyDescent="0.25">
      <c r="A7" s="16" t="s">
        <v>17</v>
      </c>
      <c r="B7" s="6">
        <v>4</v>
      </c>
      <c r="C7" s="6">
        <v>19472</v>
      </c>
      <c r="D7" s="6">
        <v>4</v>
      </c>
    </row>
    <row r="8" spans="1:4" x14ac:dyDescent="0.25">
      <c r="A8" s="10" t="s">
        <v>11</v>
      </c>
      <c r="B8" s="67">
        <v>12</v>
      </c>
      <c r="C8" s="67">
        <v>81895</v>
      </c>
      <c r="D8" s="67">
        <v>12</v>
      </c>
    </row>
    <row r="9" spans="1:4" x14ac:dyDescent="0.25">
      <c r="A9" s="15" t="s">
        <v>16</v>
      </c>
      <c r="B9" s="6">
        <v>4</v>
      </c>
      <c r="C9" s="6">
        <v>35505</v>
      </c>
      <c r="D9" s="6">
        <v>4</v>
      </c>
    </row>
    <row r="10" spans="1:4" x14ac:dyDescent="0.25">
      <c r="A10" s="11" t="s">
        <v>14</v>
      </c>
      <c r="B10" s="67">
        <v>5</v>
      </c>
      <c r="C10" s="67">
        <v>59563</v>
      </c>
      <c r="D10" s="67">
        <v>5</v>
      </c>
    </row>
    <row r="11" spans="1:4" x14ac:dyDescent="0.25">
      <c r="A11" s="12" t="s">
        <v>327</v>
      </c>
      <c r="B11" s="6">
        <v>5</v>
      </c>
      <c r="C11" s="6">
        <v>75599</v>
      </c>
      <c r="D11" s="6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A1:B6"/>
  <sheetViews>
    <sheetView workbookViewId="0">
      <selection activeCell="A2" sqref="A2:B6"/>
    </sheetView>
  </sheetViews>
  <sheetFormatPr baseColWidth="10" defaultColWidth="9.140625" defaultRowHeight="15" x14ac:dyDescent="0.25"/>
  <sheetData>
    <row r="1" spans="1:2" x14ac:dyDescent="0.25">
      <c r="A1" s="47" t="s">
        <v>328</v>
      </c>
      <c r="B1" s="47" t="s">
        <v>329</v>
      </c>
    </row>
    <row r="2" spans="1:2" x14ac:dyDescent="0.25">
      <c r="A2" s="67" t="s">
        <v>330</v>
      </c>
      <c r="B2" s="67">
        <v>121</v>
      </c>
    </row>
    <row r="3" spans="1:2" x14ac:dyDescent="0.25">
      <c r="A3" s="6" t="s">
        <v>331</v>
      </c>
      <c r="B3" s="6">
        <v>482</v>
      </c>
    </row>
    <row r="4" spans="1:2" x14ac:dyDescent="0.25">
      <c r="A4" s="67" t="s">
        <v>332</v>
      </c>
      <c r="B4" s="67">
        <v>3</v>
      </c>
    </row>
    <row r="5" spans="1:2" x14ac:dyDescent="0.25">
      <c r="A5" s="6" t="s">
        <v>333</v>
      </c>
      <c r="B5" s="6">
        <v>331</v>
      </c>
    </row>
    <row r="6" spans="1:2" x14ac:dyDescent="0.25">
      <c r="A6" s="67" t="s">
        <v>334</v>
      </c>
      <c r="B6" s="67">
        <v>137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249977111117893"/>
  </sheetPr>
  <dimension ref="A1:G107"/>
  <sheetViews>
    <sheetView workbookViewId="0">
      <selection activeCell="C92" sqref="C92"/>
    </sheetView>
  </sheetViews>
  <sheetFormatPr baseColWidth="10" defaultColWidth="9.140625" defaultRowHeight="15" x14ac:dyDescent="0.25"/>
  <cols>
    <col min="1" max="1" width="96.7109375" bestFit="1" customWidth="1"/>
    <col min="2" max="7" width="10.42578125" customWidth="1"/>
  </cols>
  <sheetData>
    <row r="1" spans="1:7" ht="25.5" x14ac:dyDescent="0.25">
      <c r="A1" s="47" t="s">
        <v>335</v>
      </c>
      <c r="B1" s="47" t="s">
        <v>330</v>
      </c>
      <c r="C1" s="47" t="s">
        <v>331</v>
      </c>
      <c r="D1" s="47" t="s">
        <v>332</v>
      </c>
      <c r="E1" s="47" t="s">
        <v>333</v>
      </c>
      <c r="F1" s="47" t="s">
        <v>334</v>
      </c>
      <c r="G1" s="47" t="s">
        <v>53</v>
      </c>
    </row>
    <row r="2" spans="1:7" x14ac:dyDescent="0.25">
      <c r="A2" s="67" t="s">
        <v>336</v>
      </c>
      <c r="B2" s="67">
        <v>0</v>
      </c>
      <c r="C2" s="67">
        <v>4</v>
      </c>
      <c r="D2" s="67">
        <v>0</v>
      </c>
      <c r="E2" s="67">
        <v>0</v>
      </c>
      <c r="F2" s="67">
        <v>0</v>
      </c>
      <c r="G2" s="67">
        <v>4</v>
      </c>
    </row>
    <row r="3" spans="1:7" x14ac:dyDescent="0.25">
      <c r="A3" s="6" t="s">
        <v>337</v>
      </c>
      <c r="B3" s="6">
        <v>0</v>
      </c>
      <c r="C3" s="6">
        <v>1</v>
      </c>
      <c r="D3" s="6">
        <v>0</v>
      </c>
      <c r="E3" s="6">
        <v>0</v>
      </c>
      <c r="F3" s="6">
        <v>0</v>
      </c>
      <c r="G3" s="6">
        <v>1</v>
      </c>
    </row>
    <row r="4" spans="1:7" x14ac:dyDescent="0.25">
      <c r="A4" s="67" t="s">
        <v>338</v>
      </c>
      <c r="B4" s="67">
        <v>0</v>
      </c>
      <c r="C4" s="67">
        <v>0</v>
      </c>
      <c r="D4" s="67">
        <v>0</v>
      </c>
      <c r="E4" s="67">
        <v>2</v>
      </c>
      <c r="F4" s="67">
        <v>0</v>
      </c>
      <c r="G4" s="67">
        <v>2</v>
      </c>
    </row>
    <row r="5" spans="1:7" x14ac:dyDescent="0.25">
      <c r="A5" s="6" t="s">
        <v>339</v>
      </c>
      <c r="B5" s="6">
        <v>0</v>
      </c>
      <c r="C5" s="6">
        <v>1</v>
      </c>
      <c r="D5" s="6">
        <v>0</v>
      </c>
      <c r="E5" s="6">
        <v>0</v>
      </c>
      <c r="F5" s="6">
        <v>0</v>
      </c>
      <c r="G5" s="6">
        <v>1</v>
      </c>
    </row>
    <row r="6" spans="1:7" x14ac:dyDescent="0.25">
      <c r="A6" s="67" t="s">
        <v>340</v>
      </c>
      <c r="B6" s="67">
        <v>0</v>
      </c>
      <c r="C6" s="67">
        <v>1</v>
      </c>
      <c r="D6" s="67">
        <v>0</v>
      </c>
      <c r="E6" s="67">
        <v>0</v>
      </c>
      <c r="F6" s="67">
        <v>0</v>
      </c>
      <c r="G6" s="67">
        <v>1</v>
      </c>
    </row>
    <row r="7" spans="1:7" x14ac:dyDescent="0.25">
      <c r="A7" s="67" t="s">
        <v>341</v>
      </c>
      <c r="B7" s="67">
        <v>0</v>
      </c>
      <c r="C7" s="67">
        <v>0</v>
      </c>
      <c r="D7" s="67">
        <v>0</v>
      </c>
      <c r="E7" s="67">
        <v>7</v>
      </c>
      <c r="F7" s="67">
        <v>0</v>
      </c>
      <c r="G7" s="67">
        <v>7</v>
      </c>
    </row>
    <row r="8" spans="1:7" x14ac:dyDescent="0.25">
      <c r="A8" s="6" t="s">
        <v>342</v>
      </c>
      <c r="B8" s="6">
        <v>0</v>
      </c>
      <c r="C8" s="6">
        <v>0</v>
      </c>
      <c r="D8" s="6">
        <v>0</v>
      </c>
      <c r="E8" s="6">
        <v>1</v>
      </c>
      <c r="F8" s="6">
        <v>1</v>
      </c>
      <c r="G8" s="6">
        <v>2</v>
      </c>
    </row>
    <row r="9" spans="1:7" x14ac:dyDescent="0.25">
      <c r="A9" s="67" t="s">
        <v>343</v>
      </c>
      <c r="B9" s="67">
        <v>0</v>
      </c>
      <c r="C9" s="67">
        <v>0</v>
      </c>
      <c r="D9" s="67">
        <v>0</v>
      </c>
      <c r="E9" s="67">
        <v>2</v>
      </c>
      <c r="F9" s="67">
        <v>0</v>
      </c>
      <c r="G9" s="67">
        <v>2</v>
      </c>
    </row>
    <row r="10" spans="1:7" x14ac:dyDescent="0.25">
      <c r="A10" s="6" t="s">
        <v>344</v>
      </c>
      <c r="B10" s="6">
        <v>0</v>
      </c>
      <c r="C10" s="6">
        <v>0</v>
      </c>
      <c r="D10" s="6">
        <v>0</v>
      </c>
      <c r="E10" s="6">
        <v>1</v>
      </c>
      <c r="F10" s="6">
        <v>0</v>
      </c>
      <c r="G10" s="6">
        <v>1</v>
      </c>
    </row>
    <row r="11" spans="1:7" x14ac:dyDescent="0.25">
      <c r="A11" s="67" t="s">
        <v>345</v>
      </c>
      <c r="B11" s="67">
        <v>0</v>
      </c>
      <c r="C11" s="67">
        <v>0</v>
      </c>
      <c r="D11" s="67">
        <v>0</v>
      </c>
      <c r="E11" s="67">
        <v>1</v>
      </c>
      <c r="F11" s="67">
        <v>0</v>
      </c>
      <c r="G11" s="67">
        <v>1</v>
      </c>
    </row>
    <row r="12" spans="1:7" x14ac:dyDescent="0.25">
      <c r="A12" s="67" t="s">
        <v>346</v>
      </c>
      <c r="B12" s="67">
        <v>0</v>
      </c>
      <c r="C12" s="67">
        <v>1</v>
      </c>
      <c r="D12" s="67">
        <v>0</v>
      </c>
      <c r="E12" s="67">
        <v>0</v>
      </c>
      <c r="F12" s="67">
        <v>1</v>
      </c>
      <c r="G12" s="67">
        <v>2</v>
      </c>
    </row>
    <row r="13" spans="1:7" x14ac:dyDescent="0.25">
      <c r="A13" s="6" t="s">
        <v>347</v>
      </c>
      <c r="B13" s="6">
        <v>0</v>
      </c>
      <c r="C13" s="6">
        <v>7</v>
      </c>
      <c r="D13" s="6">
        <v>0</v>
      </c>
      <c r="E13" s="6">
        <v>0</v>
      </c>
      <c r="F13" s="6">
        <v>0</v>
      </c>
      <c r="G13" s="6">
        <v>7</v>
      </c>
    </row>
    <row r="14" spans="1:7" x14ac:dyDescent="0.25">
      <c r="A14" s="67" t="s">
        <v>348</v>
      </c>
      <c r="B14" s="67">
        <v>0</v>
      </c>
      <c r="C14" s="67">
        <v>0</v>
      </c>
      <c r="D14" s="67">
        <v>0</v>
      </c>
      <c r="E14" s="67">
        <v>3</v>
      </c>
      <c r="F14" s="67">
        <v>1</v>
      </c>
      <c r="G14" s="67">
        <v>4</v>
      </c>
    </row>
    <row r="15" spans="1:7" x14ac:dyDescent="0.25">
      <c r="A15" s="6" t="s">
        <v>349</v>
      </c>
      <c r="B15" s="6">
        <v>0</v>
      </c>
      <c r="C15" s="6">
        <v>0</v>
      </c>
      <c r="D15" s="6">
        <v>0</v>
      </c>
      <c r="E15" s="6">
        <v>0</v>
      </c>
      <c r="F15" s="6">
        <v>1</v>
      </c>
      <c r="G15" s="6">
        <v>1</v>
      </c>
    </row>
    <row r="16" spans="1:7" x14ac:dyDescent="0.25">
      <c r="A16" s="67" t="s">
        <v>350</v>
      </c>
      <c r="B16" s="67">
        <v>0</v>
      </c>
      <c r="C16" s="67">
        <v>0</v>
      </c>
      <c r="D16" s="67">
        <v>0</v>
      </c>
      <c r="E16" s="67">
        <v>0</v>
      </c>
      <c r="F16" s="67">
        <v>1</v>
      </c>
      <c r="G16" s="67">
        <v>1</v>
      </c>
    </row>
    <row r="17" spans="1:7" x14ac:dyDescent="0.25">
      <c r="A17" s="67" t="s">
        <v>351</v>
      </c>
      <c r="B17" s="67">
        <v>0</v>
      </c>
      <c r="C17" s="67">
        <v>0</v>
      </c>
      <c r="D17" s="67">
        <v>0</v>
      </c>
      <c r="E17" s="67">
        <v>0</v>
      </c>
      <c r="F17" s="67">
        <v>3</v>
      </c>
      <c r="G17" s="67">
        <v>3</v>
      </c>
    </row>
    <row r="18" spans="1:7" x14ac:dyDescent="0.25">
      <c r="A18" s="6" t="s">
        <v>352</v>
      </c>
      <c r="B18" s="6">
        <v>0</v>
      </c>
      <c r="C18" s="6">
        <v>0</v>
      </c>
      <c r="D18" s="6">
        <v>0</v>
      </c>
      <c r="E18" s="6">
        <v>1</v>
      </c>
      <c r="F18" s="6">
        <v>0</v>
      </c>
      <c r="G18" s="6">
        <v>1</v>
      </c>
    </row>
    <row r="19" spans="1:7" x14ac:dyDescent="0.25">
      <c r="A19" s="67" t="s">
        <v>353</v>
      </c>
      <c r="B19" s="67">
        <v>0</v>
      </c>
      <c r="C19" s="67">
        <v>0</v>
      </c>
      <c r="D19" s="67">
        <v>0</v>
      </c>
      <c r="E19" s="67">
        <v>0</v>
      </c>
      <c r="F19" s="67">
        <v>1</v>
      </c>
      <c r="G19" s="67">
        <v>1</v>
      </c>
    </row>
    <row r="20" spans="1:7" x14ac:dyDescent="0.25">
      <c r="A20" s="6" t="s">
        <v>354</v>
      </c>
      <c r="B20" s="6">
        <v>0</v>
      </c>
      <c r="C20" s="6">
        <v>0</v>
      </c>
      <c r="D20" s="6">
        <v>0</v>
      </c>
      <c r="E20" s="6">
        <v>0</v>
      </c>
      <c r="F20" s="6">
        <v>3</v>
      </c>
      <c r="G20" s="6">
        <v>3</v>
      </c>
    </row>
    <row r="21" spans="1:7" x14ac:dyDescent="0.25">
      <c r="A21" s="67" t="s">
        <v>355</v>
      </c>
      <c r="B21" s="67">
        <v>0</v>
      </c>
      <c r="C21" s="67">
        <v>0</v>
      </c>
      <c r="D21" s="67">
        <v>0</v>
      </c>
      <c r="E21" s="67">
        <v>0</v>
      </c>
      <c r="F21" s="67">
        <v>1</v>
      </c>
      <c r="G21" s="67">
        <v>1</v>
      </c>
    </row>
    <row r="22" spans="1:7" x14ac:dyDescent="0.25">
      <c r="A22" s="67" t="s">
        <v>356</v>
      </c>
      <c r="B22" s="67">
        <v>0</v>
      </c>
      <c r="C22" s="67">
        <v>0</v>
      </c>
      <c r="D22" s="67">
        <v>0</v>
      </c>
      <c r="E22" s="67">
        <v>0</v>
      </c>
      <c r="F22" s="67">
        <v>1</v>
      </c>
      <c r="G22" s="67">
        <v>1</v>
      </c>
    </row>
    <row r="23" spans="1:7" x14ac:dyDescent="0.25">
      <c r="A23" s="6" t="s">
        <v>357</v>
      </c>
      <c r="B23" s="6">
        <v>0</v>
      </c>
      <c r="C23" s="6">
        <v>0</v>
      </c>
      <c r="D23" s="6">
        <v>0</v>
      </c>
      <c r="E23" s="6">
        <v>1</v>
      </c>
      <c r="F23" s="6">
        <v>1</v>
      </c>
      <c r="G23" s="6">
        <v>2</v>
      </c>
    </row>
    <row r="24" spans="1:7" x14ac:dyDescent="0.25">
      <c r="A24" s="67" t="s">
        <v>358</v>
      </c>
      <c r="B24" s="67">
        <v>0</v>
      </c>
      <c r="C24" s="67">
        <v>0</v>
      </c>
      <c r="D24" s="67">
        <v>0</v>
      </c>
      <c r="E24" s="67">
        <v>0</v>
      </c>
      <c r="F24" s="67">
        <v>2</v>
      </c>
      <c r="G24" s="67">
        <v>2</v>
      </c>
    </row>
    <row r="25" spans="1:7" x14ac:dyDescent="0.25">
      <c r="A25" s="6" t="s">
        <v>359</v>
      </c>
      <c r="B25" s="6">
        <v>0</v>
      </c>
      <c r="C25" s="6">
        <v>1</v>
      </c>
      <c r="D25" s="6">
        <v>0</v>
      </c>
      <c r="E25" s="6">
        <v>0</v>
      </c>
      <c r="F25" s="6">
        <v>0</v>
      </c>
      <c r="G25" s="6">
        <v>1</v>
      </c>
    </row>
    <row r="26" spans="1:7" x14ac:dyDescent="0.25">
      <c r="A26" s="67" t="s">
        <v>360</v>
      </c>
      <c r="B26" s="67">
        <v>0</v>
      </c>
      <c r="C26" s="67">
        <v>0</v>
      </c>
      <c r="D26" s="67">
        <v>0</v>
      </c>
      <c r="E26" s="67">
        <v>6</v>
      </c>
      <c r="F26" s="67">
        <v>1</v>
      </c>
      <c r="G26" s="67">
        <v>7</v>
      </c>
    </row>
    <row r="27" spans="1:7" x14ac:dyDescent="0.25">
      <c r="A27" s="67" t="s">
        <v>361</v>
      </c>
      <c r="B27" s="67">
        <v>0</v>
      </c>
      <c r="C27" s="67">
        <v>14</v>
      </c>
      <c r="D27" s="67">
        <v>0</v>
      </c>
      <c r="E27" s="67">
        <v>4</v>
      </c>
      <c r="F27" s="67">
        <v>0</v>
      </c>
      <c r="G27" s="67">
        <v>18</v>
      </c>
    </row>
    <row r="28" spans="1:7" x14ac:dyDescent="0.25">
      <c r="A28" s="6" t="s">
        <v>362</v>
      </c>
      <c r="B28" s="6">
        <v>0</v>
      </c>
      <c r="C28" s="6">
        <v>0</v>
      </c>
      <c r="D28" s="6">
        <v>0</v>
      </c>
      <c r="E28" s="6">
        <v>4</v>
      </c>
      <c r="F28" s="6">
        <v>0</v>
      </c>
      <c r="G28" s="6">
        <v>4</v>
      </c>
    </row>
    <row r="29" spans="1:7" x14ac:dyDescent="0.25">
      <c r="A29" s="67" t="s">
        <v>363</v>
      </c>
      <c r="B29" s="67">
        <v>0</v>
      </c>
      <c r="C29" s="67">
        <v>18</v>
      </c>
      <c r="D29" s="67">
        <v>0</v>
      </c>
      <c r="E29" s="67">
        <v>1</v>
      </c>
      <c r="F29" s="67">
        <v>0</v>
      </c>
      <c r="G29" s="67">
        <v>19</v>
      </c>
    </row>
    <row r="30" spans="1:7" x14ac:dyDescent="0.25">
      <c r="A30" s="6" t="s">
        <v>364</v>
      </c>
      <c r="B30" s="6">
        <v>0</v>
      </c>
      <c r="C30" s="6">
        <v>0</v>
      </c>
      <c r="D30" s="6">
        <v>0</v>
      </c>
      <c r="E30" s="6">
        <v>1</v>
      </c>
      <c r="F30" s="6">
        <v>0</v>
      </c>
      <c r="G30" s="6">
        <v>1</v>
      </c>
    </row>
    <row r="31" spans="1:7" x14ac:dyDescent="0.25">
      <c r="A31" s="67" t="s">
        <v>365</v>
      </c>
      <c r="B31" s="67">
        <v>0</v>
      </c>
      <c r="C31" s="67">
        <v>0</v>
      </c>
      <c r="D31" s="67">
        <v>0</v>
      </c>
      <c r="E31" s="67">
        <v>4</v>
      </c>
      <c r="F31" s="67">
        <v>0</v>
      </c>
      <c r="G31" s="67">
        <v>4</v>
      </c>
    </row>
    <row r="32" spans="1:7" x14ac:dyDescent="0.25">
      <c r="A32" s="67" t="s">
        <v>366</v>
      </c>
      <c r="B32" s="67">
        <v>0</v>
      </c>
      <c r="C32" s="67">
        <v>0</v>
      </c>
      <c r="D32" s="67">
        <v>0</v>
      </c>
      <c r="E32" s="67">
        <v>15</v>
      </c>
      <c r="F32" s="67">
        <v>2</v>
      </c>
      <c r="G32" s="67">
        <v>17</v>
      </c>
    </row>
    <row r="33" spans="1:7" x14ac:dyDescent="0.25">
      <c r="A33" s="6" t="s">
        <v>367</v>
      </c>
      <c r="B33" s="6">
        <v>0</v>
      </c>
      <c r="C33" s="6">
        <v>0</v>
      </c>
      <c r="D33" s="6">
        <v>0</v>
      </c>
      <c r="E33" s="6">
        <v>2</v>
      </c>
      <c r="F33" s="6">
        <v>1</v>
      </c>
      <c r="G33" s="6">
        <v>3</v>
      </c>
    </row>
    <row r="34" spans="1:7" x14ac:dyDescent="0.25">
      <c r="A34" s="67" t="s">
        <v>368</v>
      </c>
      <c r="B34" s="67">
        <v>0</v>
      </c>
      <c r="C34" s="67">
        <v>0</v>
      </c>
      <c r="D34" s="67">
        <v>0</v>
      </c>
      <c r="E34" s="67">
        <v>4</v>
      </c>
      <c r="F34" s="67">
        <v>0</v>
      </c>
      <c r="G34" s="67">
        <v>4</v>
      </c>
    </row>
    <row r="35" spans="1:7" x14ac:dyDescent="0.25">
      <c r="A35" s="6" t="s">
        <v>369</v>
      </c>
      <c r="B35" s="6">
        <v>0</v>
      </c>
      <c r="C35" s="6">
        <v>0</v>
      </c>
      <c r="D35" s="6">
        <v>0</v>
      </c>
      <c r="E35" s="6">
        <v>4</v>
      </c>
      <c r="F35" s="6">
        <v>0</v>
      </c>
      <c r="G35" s="6">
        <v>4</v>
      </c>
    </row>
    <row r="36" spans="1:7" x14ac:dyDescent="0.25">
      <c r="A36" s="67" t="s">
        <v>370</v>
      </c>
      <c r="B36" s="67">
        <v>0</v>
      </c>
      <c r="C36" s="67">
        <v>2</v>
      </c>
      <c r="D36" s="67">
        <v>0</v>
      </c>
      <c r="E36" s="67">
        <v>1</v>
      </c>
      <c r="F36" s="67">
        <v>0</v>
      </c>
      <c r="G36" s="67">
        <v>3</v>
      </c>
    </row>
    <row r="37" spans="1:7" x14ac:dyDescent="0.25">
      <c r="A37" s="67" t="s">
        <v>371</v>
      </c>
      <c r="B37" s="67">
        <v>0</v>
      </c>
      <c r="C37" s="67">
        <v>0</v>
      </c>
      <c r="D37" s="67">
        <v>0</v>
      </c>
      <c r="E37" s="67">
        <v>0</v>
      </c>
      <c r="F37" s="67">
        <v>1</v>
      </c>
      <c r="G37" s="67">
        <v>1</v>
      </c>
    </row>
    <row r="38" spans="1:7" x14ac:dyDescent="0.25">
      <c r="A38" s="6" t="s">
        <v>372</v>
      </c>
      <c r="B38" s="6">
        <v>0</v>
      </c>
      <c r="C38" s="6">
        <v>5</v>
      </c>
      <c r="D38" s="6">
        <v>0</v>
      </c>
      <c r="E38" s="6">
        <v>1</v>
      </c>
      <c r="F38" s="6">
        <v>0</v>
      </c>
      <c r="G38" s="6">
        <v>6</v>
      </c>
    </row>
    <row r="39" spans="1:7" x14ac:dyDescent="0.25">
      <c r="A39" s="67" t="s">
        <v>373</v>
      </c>
      <c r="B39" s="67">
        <v>0</v>
      </c>
      <c r="C39" s="67">
        <v>13</v>
      </c>
      <c r="D39" s="67">
        <v>0</v>
      </c>
      <c r="E39" s="67">
        <v>0</v>
      </c>
      <c r="F39" s="67">
        <v>0</v>
      </c>
      <c r="G39" s="67">
        <v>13</v>
      </c>
    </row>
    <row r="40" spans="1:7" x14ac:dyDescent="0.25">
      <c r="A40" s="6" t="s">
        <v>374</v>
      </c>
      <c r="B40" s="6">
        <v>0</v>
      </c>
      <c r="C40" s="6">
        <v>0</v>
      </c>
      <c r="D40" s="6">
        <v>0</v>
      </c>
      <c r="E40" s="6">
        <v>3</v>
      </c>
      <c r="F40" s="6">
        <v>0</v>
      </c>
      <c r="G40" s="6">
        <v>3</v>
      </c>
    </row>
    <row r="41" spans="1:7" x14ac:dyDescent="0.25">
      <c r="A41" s="67" t="s">
        <v>375</v>
      </c>
      <c r="B41" s="67">
        <v>0</v>
      </c>
      <c r="C41" s="67">
        <v>55</v>
      </c>
      <c r="D41" s="67">
        <v>0</v>
      </c>
      <c r="E41" s="67">
        <v>20</v>
      </c>
      <c r="F41" s="67">
        <v>2</v>
      </c>
      <c r="G41" s="67">
        <v>77</v>
      </c>
    </row>
    <row r="42" spans="1:7" x14ac:dyDescent="0.25">
      <c r="A42" s="67" t="s">
        <v>376</v>
      </c>
      <c r="B42" s="67">
        <v>0</v>
      </c>
      <c r="C42" s="67">
        <v>0</v>
      </c>
      <c r="D42" s="67">
        <v>0</v>
      </c>
      <c r="E42" s="67">
        <v>6</v>
      </c>
      <c r="F42" s="67">
        <v>0</v>
      </c>
      <c r="G42" s="67">
        <v>6</v>
      </c>
    </row>
    <row r="43" spans="1:7" x14ac:dyDescent="0.25">
      <c r="A43" s="6" t="s">
        <v>377</v>
      </c>
      <c r="B43" s="6">
        <v>0</v>
      </c>
      <c r="C43" s="6">
        <v>0</v>
      </c>
      <c r="D43" s="6">
        <v>0</v>
      </c>
      <c r="E43" s="6">
        <v>11</v>
      </c>
      <c r="F43" s="6">
        <v>0</v>
      </c>
      <c r="G43" s="6">
        <v>11</v>
      </c>
    </row>
    <row r="44" spans="1:7" x14ac:dyDescent="0.25">
      <c r="A44" s="67" t="s">
        <v>378</v>
      </c>
      <c r="B44" s="67">
        <v>0</v>
      </c>
      <c r="C44" s="67">
        <v>13</v>
      </c>
      <c r="D44" s="67">
        <v>0</v>
      </c>
      <c r="E44" s="67">
        <v>20</v>
      </c>
      <c r="F44" s="67">
        <v>2</v>
      </c>
      <c r="G44" s="67">
        <v>35</v>
      </c>
    </row>
    <row r="45" spans="1:7" x14ac:dyDescent="0.25">
      <c r="A45" s="6" t="s">
        <v>379</v>
      </c>
      <c r="B45" s="6">
        <v>0</v>
      </c>
      <c r="C45" s="6">
        <v>3</v>
      </c>
      <c r="D45" s="6">
        <v>0</v>
      </c>
      <c r="E45" s="6">
        <v>0</v>
      </c>
      <c r="F45" s="6">
        <v>0</v>
      </c>
      <c r="G45" s="6">
        <v>3</v>
      </c>
    </row>
    <row r="46" spans="1:7" x14ac:dyDescent="0.25">
      <c r="A46" s="67" t="s">
        <v>380</v>
      </c>
      <c r="B46" s="67">
        <v>0</v>
      </c>
      <c r="C46" s="67">
        <v>0</v>
      </c>
      <c r="D46" s="67">
        <v>0</v>
      </c>
      <c r="E46" s="67">
        <v>22</v>
      </c>
      <c r="F46" s="67">
        <v>12</v>
      </c>
      <c r="G46" s="67">
        <v>34</v>
      </c>
    </row>
    <row r="47" spans="1:7" x14ac:dyDescent="0.25">
      <c r="A47" s="67" t="s">
        <v>381</v>
      </c>
      <c r="B47" s="67">
        <v>0</v>
      </c>
      <c r="C47" s="67">
        <v>0</v>
      </c>
      <c r="D47" s="67">
        <v>0</v>
      </c>
      <c r="E47" s="67">
        <v>0</v>
      </c>
      <c r="F47" s="67">
        <v>2</v>
      </c>
      <c r="G47" s="67">
        <v>2</v>
      </c>
    </row>
    <row r="48" spans="1:7" x14ac:dyDescent="0.25">
      <c r="A48" s="6" t="s">
        <v>382</v>
      </c>
      <c r="B48" s="6">
        <v>0</v>
      </c>
      <c r="C48" s="6">
        <v>0</v>
      </c>
      <c r="D48" s="6">
        <v>0</v>
      </c>
      <c r="E48" s="6">
        <v>9</v>
      </c>
      <c r="F48" s="6">
        <v>0</v>
      </c>
      <c r="G48" s="6">
        <v>9</v>
      </c>
    </row>
    <row r="49" spans="1:7" x14ac:dyDescent="0.25">
      <c r="A49" s="67" t="s">
        <v>383</v>
      </c>
      <c r="B49" s="67">
        <v>0</v>
      </c>
      <c r="C49" s="67">
        <v>0</v>
      </c>
      <c r="D49" s="67">
        <v>0</v>
      </c>
      <c r="E49" s="67">
        <v>1</v>
      </c>
      <c r="F49" s="67">
        <v>0</v>
      </c>
      <c r="G49" s="67">
        <v>1</v>
      </c>
    </row>
    <row r="50" spans="1:7" x14ac:dyDescent="0.25">
      <c r="A50" s="6" t="s">
        <v>384</v>
      </c>
      <c r="B50" s="6">
        <v>0</v>
      </c>
      <c r="C50" s="6">
        <v>0</v>
      </c>
      <c r="D50" s="6">
        <v>0</v>
      </c>
      <c r="E50" s="6">
        <v>2</v>
      </c>
      <c r="F50" s="6">
        <v>1</v>
      </c>
      <c r="G50" s="6">
        <v>3</v>
      </c>
    </row>
    <row r="51" spans="1:7" x14ac:dyDescent="0.25">
      <c r="A51" s="67" t="s">
        <v>385</v>
      </c>
      <c r="B51" s="67">
        <v>0</v>
      </c>
      <c r="C51" s="67">
        <v>0</v>
      </c>
      <c r="D51" s="67">
        <v>0</v>
      </c>
      <c r="E51" s="67">
        <v>3</v>
      </c>
      <c r="F51" s="67">
        <v>0</v>
      </c>
      <c r="G51" s="67">
        <v>3</v>
      </c>
    </row>
    <row r="52" spans="1:7" x14ac:dyDescent="0.25">
      <c r="A52" s="67" t="s">
        <v>386</v>
      </c>
      <c r="B52" s="67">
        <v>0</v>
      </c>
      <c r="C52" s="67">
        <v>44</v>
      </c>
      <c r="D52" s="67">
        <v>0</v>
      </c>
      <c r="E52" s="67">
        <v>0</v>
      </c>
      <c r="F52" s="67">
        <v>0</v>
      </c>
      <c r="G52" s="67">
        <v>44</v>
      </c>
    </row>
    <row r="53" spans="1:7" x14ac:dyDescent="0.25">
      <c r="A53" s="6" t="s">
        <v>387</v>
      </c>
      <c r="B53" s="6">
        <v>0</v>
      </c>
      <c r="C53" s="6">
        <v>6</v>
      </c>
      <c r="D53" s="6">
        <v>0</v>
      </c>
      <c r="E53" s="6">
        <v>0</v>
      </c>
      <c r="F53" s="6">
        <v>0</v>
      </c>
      <c r="G53" s="6">
        <v>6</v>
      </c>
    </row>
    <row r="54" spans="1:7" x14ac:dyDescent="0.25">
      <c r="A54" s="67" t="s">
        <v>388</v>
      </c>
      <c r="B54" s="67">
        <v>0</v>
      </c>
      <c r="C54" s="67">
        <v>0</v>
      </c>
      <c r="D54" s="67">
        <v>0</v>
      </c>
      <c r="E54" s="67">
        <v>6</v>
      </c>
      <c r="F54" s="67">
        <v>0</v>
      </c>
      <c r="G54" s="67">
        <v>6</v>
      </c>
    </row>
    <row r="55" spans="1:7" x14ac:dyDescent="0.25">
      <c r="A55" s="6" t="s">
        <v>389</v>
      </c>
      <c r="B55" s="6">
        <v>0</v>
      </c>
      <c r="C55" s="6">
        <v>37</v>
      </c>
      <c r="D55" s="6">
        <v>0</v>
      </c>
      <c r="E55" s="6">
        <v>10</v>
      </c>
      <c r="F55" s="6">
        <v>0</v>
      </c>
      <c r="G55" s="6">
        <v>47</v>
      </c>
    </row>
    <row r="56" spans="1:7" x14ac:dyDescent="0.25">
      <c r="A56" s="67" t="s">
        <v>390</v>
      </c>
      <c r="B56" s="67">
        <v>0</v>
      </c>
      <c r="C56" s="67">
        <v>0</v>
      </c>
      <c r="D56" s="67">
        <v>0</v>
      </c>
      <c r="E56" s="67">
        <v>5</v>
      </c>
      <c r="F56" s="67">
        <v>0</v>
      </c>
      <c r="G56" s="67">
        <v>5</v>
      </c>
    </row>
    <row r="57" spans="1:7" x14ac:dyDescent="0.25">
      <c r="A57" s="67" t="s">
        <v>391</v>
      </c>
      <c r="B57" s="67">
        <v>0</v>
      </c>
      <c r="C57" s="67">
        <v>0</v>
      </c>
      <c r="D57" s="67">
        <v>1</v>
      </c>
      <c r="E57" s="67">
        <v>0</v>
      </c>
      <c r="F57" s="67">
        <v>0</v>
      </c>
      <c r="G57" s="67">
        <v>1</v>
      </c>
    </row>
    <row r="58" spans="1:7" x14ac:dyDescent="0.25">
      <c r="A58" s="6" t="s">
        <v>392</v>
      </c>
      <c r="B58" s="6">
        <v>0</v>
      </c>
      <c r="C58" s="6">
        <v>0</v>
      </c>
      <c r="D58" s="6">
        <v>0</v>
      </c>
      <c r="E58" s="6">
        <v>0</v>
      </c>
      <c r="F58" s="6">
        <v>1</v>
      </c>
      <c r="G58" s="6">
        <v>1</v>
      </c>
    </row>
    <row r="59" spans="1:7" x14ac:dyDescent="0.25">
      <c r="A59" s="67" t="s">
        <v>393</v>
      </c>
      <c r="B59" s="67">
        <v>0</v>
      </c>
      <c r="C59" s="67">
        <v>0</v>
      </c>
      <c r="D59" s="67">
        <v>0</v>
      </c>
      <c r="E59" s="67">
        <v>1</v>
      </c>
      <c r="F59" s="67">
        <v>0</v>
      </c>
      <c r="G59" s="67">
        <v>1</v>
      </c>
    </row>
    <row r="60" spans="1:7" x14ac:dyDescent="0.25">
      <c r="A60" s="6" t="s">
        <v>394</v>
      </c>
      <c r="B60" s="6">
        <v>0</v>
      </c>
      <c r="C60" s="6">
        <v>1</v>
      </c>
      <c r="D60" s="6">
        <v>0</v>
      </c>
      <c r="E60" s="6">
        <v>0</v>
      </c>
      <c r="F60" s="6">
        <v>0</v>
      </c>
      <c r="G60" s="6">
        <v>1</v>
      </c>
    </row>
    <row r="61" spans="1:7" x14ac:dyDescent="0.25">
      <c r="A61" s="67" t="s">
        <v>395</v>
      </c>
      <c r="B61" s="67">
        <v>0</v>
      </c>
      <c r="C61" s="67">
        <v>0</v>
      </c>
      <c r="D61" s="67">
        <v>0</v>
      </c>
      <c r="E61" s="67">
        <v>2</v>
      </c>
      <c r="F61" s="67">
        <v>1</v>
      </c>
      <c r="G61" s="67">
        <v>3</v>
      </c>
    </row>
    <row r="62" spans="1:7" x14ac:dyDescent="0.25">
      <c r="A62" s="67" t="s">
        <v>396</v>
      </c>
      <c r="B62" s="67">
        <v>0</v>
      </c>
      <c r="C62" s="67">
        <v>3</v>
      </c>
      <c r="D62" s="67">
        <v>0</v>
      </c>
      <c r="E62" s="67">
        <v>0</v>
      </c>
      <c r="F62" s="67">
        <v>0</v>
      </c>
      <c r="G62" s="67">
        <v>3</v>
      </c>
    </row>
    <row r="63" spans="1:7" x14ac:dyDescent="0.25">
      <c r="A63" s="6" t="s">
        <v>397</v>
      </c>
      <c r="B63" s="6">
        <v>0</v>
      </c>
      <c r="C63" s="6">
        <v>0</v>
      </c>
      <c r="D63" s="6">
        <v>0</v>
      </c>
      <c r="E63" s="6">
        <v>1</v>
      </c>
      <c r="F63" s="6">
        <v>4</v>
      </c>
      <c r="G63" s="6">
        <v>5</v>
      </c>
    </row>
    <row r="64" spans="1:7" x14ac:dyDescent="0.25">
      <c r="A64" s="67" t="s">
        <v>398</v>
      </c>
      <c r="B64" s="67">
        <v>0</v>
      </c>
      <c r="C64" s="67">
        <v>0</v>
      </c>
      <c r="D64" s="67">
        <v>0</v>
      </c>
      <c r="E64" s="67">
        <v>1</v>
      </c>
      <c r="F64" s="67">
        <v>0</v>
      </c>
      <c r="G64" s="67">
        <v>1</v>
      </c>
    </row>
    <row r="65" spans="1:7" x14ac:dyDescent="0.25">
      <c r="A65" s="6" t="s">
        <v>399</v>
      </c>
      <c r="B65" s="6">
        <v>0</v>
      </c>
      <c r="C65" s="6">
        <v>16</v>
      </c>
      <c r="D65" s="6">
        <v>0</v>
      </c>
      <c r="E65" s="6">
        <v>0</v>
      </c>
      <c r="F65" s="6">
        <v>0</v>
      </c>
      <c r="G65" s="6">
        <v>16</v>
      </c>
    </row>
    <row r="66" spans="1:7" x14ac:dyDescent="0.25">
      <c r="A66" s="67" t="s">
        <v>400</v>
      </c>
      <c r="B66" s="67">
        <v>0</v>
      </c>
      <c r="C66" s="67">
        <v>0</v>
      </c>
      <c r="D66" s="67">
        <v>0</v>
      </c>
      <c r="E66" s="67">
        <v>3</v>
      </c>
      <c r="F66" s="67">
        <v>0</v>
      </c>
      <c r="G66" s="67">
        <v>3</v>
      </c>
    </row>
    <row r="67" spans="1:7" x14ac:dyDescent="0.25">
      <c r="A67" s="67" t="s">
        <v>401</v>
      </c>
      <c r="B67" s="67">
        <v>0</v>
      </c>
      <c r="C67" s="67">
        <v>0</v>
      </c>
      <c r="D67" s="67">
        <v>0</v>
      </c>
      <c r="E67" s="67">
        <v>2</v>
      </c>
      <c r="F67" s="67">
        <v>0</v>
      </c>
      <c r="G67" s="67">
        <v>2</v>
      </c>
    </row>
    <row r="68" spans="1:7" x14ac:dyDescent="0.25">
      <c r="A68" s="6" t="s">
        <v>402</v>
      </c>
      <c r="B68" s="6">
        <v>0</v>
      </c>
      <c r="C68" s="6">
        <v>0</v>
      </c>
      <c r="D68" s="6">
        <v>0</v>
      </c>
      <c r="E68" s="6">
        <v>0</v>
      </c>
      <c r="F68" s="6">
        <v>1</v>
      </c>
      <c r="G68" s="6">
        <v>1</v>
      </c>
    </row>
    <row r="69" spans="1:7" x14ac:dyDescent="0.25">
      <c r="A69" s="67" t="s">
        <v>403</v>
      </c>
      <c r="B69" s="67">
        <v>0</v>
      </c>
      <c r="C69" s="67">
        <v>0</v>
      </c>
      <c r="D69" s="67">
        <v>0</v>
      </c>
      <c r="E69" s="67">
        <v>0</v>
      </c>
      <c r="F69" s="67">
        <v>1</v>
      </c>
      <c r="G69" s="67">
        <v>1</v>
      </c>
    </row>
    <row r="70" spans="1:7" x14ac:dyDescent="0.25">
      <c r="A70" s="6" t="s">
        <v>404</v>
      </c>
      <c r="B70" s="6">
        <v>0</v>
      </c>
      <c r="C70" s="6">
        <v>19</v>
      </c>
      <c r="D70" s="6">
        <v>0</v>
      </c>
      <c r="E70" s="6">
        <v>16</v>
      </c>
      <c r="F70" s="6">
        <v>11</v>
      </c>
      <c r="G70" s="6">
        <v>46</v>
      </c>
    </row>
    <row r="71" spans="1:7" x14ac:dyDescent="0.25">
      <c r="A71" s="67" t="s">
        <v>405</v>
      </c>
      <c r="B71" s="67">
        <v>0</v>
      </c>
      <c r="C71" s="67">
        <v>30</v>
      </c>
      <c r="D71" s="67">
        <v>0</v>
      </c>
      <c r="E71" s="67">
        <v>46</v>
      </c>
      <c r="F71" s="67">
        <v>24</v>
      </c>
      <c r="G71" s="67">
        <v>100</v>
      </c>
    </row>
    <row r="72" spans="1:7" x14ac:dyDescent="0.25">
      <c r="A72" s="67" t="s">
        <v>406</v>
      </c>
      <c r="B72" s="67">
        <v>0</v>
      </c>
      <c r="C72" s="67">
        <v>4</v>
      </c>
      <c r="D72" s="67">
        <v>0</v>
      </c>
      <c r="E72" s="67">
        <v>1</v>
      </c>
      <c r="F72" s="67">
        <v>0</v>
      </c>
      <c r="G72" s="67">
        <v>5</v>
      </c>
    </row>
    <row r="73" spans="1:7" x14ac:dyDescent="0.25">
      <c r="A73" s="6" t="s">
        <v>407</v>
      </c>
      <c r="B73" s="6">
        <v>0</v>
      </c>
      <c r="C73" s="6">
        <v>0</v>
      </c>
      <c r="D73" s="6">
        <v>0</v>
      </c>
      <c r="E73" s="6">
        <v>11</v>
      </c>
      <c r="F73" s="6">
        <v>0</v>
      </c>
      <c r="G73" s="6">
        <v>11</v>
      </c>
    </row>
    <row r="74" spans="1:7" x14ac:dyDescent="0.25">
      <c r="A74" s="67" t="s">
        <v>408</v>
      </c>
      <c r="B74" s="67">
        <v>0</v>
      </c>
      <c r="C74" s="67">
        <v>0</v>
      </c>
      <c r="D74" s="67">
        <v>0</v>
      </c>
      <c r="E74" s="67">
        <v>2</v>
      </c>
      <c r="F74" s="67">
        <v>0</v>
      </c>
      <c r="G74" s="67">
        <v>2</v>
      </c>
    </row>
    <row r="75" spans="1:7" x14ac:dyDescent="0.25">
      <c r="A75" s="6" t="s">
        <v>409</v>
      </c>
      <c r="B75" s="6">
        <v>0</v>
      </c>
      <c r="C75" s="6">
        <v>0</v>
      </c>
      <c r="D75" s="6">
        <v>0</v>
      </c>
      <c r="E75" s="6">
        <v>3</v>
      </c>
      <c r="F75" s="6">
        <v>0</v>
      </c>
      <c r="G75" s="6">
        <v>3</v>
      </c>
    </row>
    <row r="76" spans="1:7" x14ac:dyDescent="0.25">
      <c r="A76" s="67" t="s">
        <v>410</v>
      </c>
      <c r="B76" s="67">
        <v>0</v>
      </c>
      <c r="C76" s="67">
        <v>0</v>
      </c>
      <c r="D76" s="67">
        <v>0</v>
      </c>
      <c r="E76" s="67">
        <v>3</v>
      </c>
      <c r="F76" s="67">
        <v>0</v>
      </c>
      <c r="G76" s="67">
        <v>3</v>
      </c>
    </row>
    <row r="77" spans="1:7" x14ac:dyDescent="0.25">
      <c r="A77" s="67" t="s">
        <v>411</v>
      </c>
      <c r="B77" s="67">
        <v>0</v>
      </c>
      <c r="C77" s="67">
        <v>3</v>
      </c>
      <c r="D77" s="67">
        <v>0</v>
      </c>
      <c r="E77" s="67">
        <v>0</v>
      </c>
      <c r="F77" s="67">
        <v>0</v>
      </c>
      <c r="G77" s="67">
        <v>3</v>
      </c>
    </row>
    <row r="78" spans="1:7" x14ac:dyDescent="0.25">
      <c r="A78" s="6" t="s">
        <v>412</v>
      </c>
      <c r="B78" s="6">
        <v>0</v>
      </c>
      <c r="C78" s="6">
        <v>0</v>
      </c>
      <c r="D78" s="6">
        <v>0</v>
      </c>
      <c r="E78" s="6">
        <v>2</v>
      </c>
      <c r="F78" s="6">
        <v>0</v>
      </c>
      <c r="G78" s="6">
        <v>2</v>
      </c>
    </row>
    <row r="79" spans="1:7" x14ac:dyDescent="0.25">
      <c r="A79" s="67" t="s">
        <v>413</v>
      </c>
      <c r="B79" s="67">
        <v>20</v>
      </c>
      <c r="C79" s="67">
        <v>0</v>
      </c>
      <c r="D79" s="67">
        <v>0</v>
      </c>
      <c r="E79" s="67">
        <v>0</v>
      </c>
      <c r="F79" s="67">
        <v>0</v>
      </c>
      <c r="G79" s="67">
        <v>20</v>
      </c>
    </row>
    <row r="80" spans="1:7" x14ac:dyDescent="0.25">
      <c r="A80" s="6" t="s">
        <v>414</v>
      </c>
      <c r="B80" s="6">
        <v>72</v>
      </c>
      <c r="C80" s="6">
        <v>0</v>
      </c>
      <c r="D80" s="6">
        <v>0</v>
      </c>
      <c r="E80" s="6">
        <v>0</v>
      </c>
      <c r="F80" s="6">
        <v>0</v>
      </c>
      <c r="G80" s="6">
        <v>72</v>
      </c>
    </row>
    <row r="81" spans="1:7" x14ac:dyDescent="0.25">
      <c r="A81" s="67" t="s">
        <v>415</v>
      </c>
      <c r="B81" s="67">
        <v>6</v>
      </c>
      <c r="C81" s="67">
        <v>0</v>
      </c>
      <c r="D81" s="67">
        <v>0</v>
      </c>
      <c r="E81" s="67">
        <v>0</v>
      </c>
      <c r="F81" s="67">
        <v>0</v>
      </c>
      <c r="G81" s="67">
        <v>6</v>
      </c>
    </row>
    <row r="82" spans="1:7" x14ac:dyDescent="0.25">
      <c r="A82" s="67" t="s">
        <v>416</v>
      </c>
      <c r="B82" s="67">
        <v>22</v>
      </c>
      <c r="C82" s="67">
        <v>0</v>
      </c>
      <c r="D82" s="67">
        <v>0</v>
      </c>
      <c r="E82" s="67">
        <v>0</v>
      </c>
      <c r="F82" s="67">
        <v>0</v>
      </c>
      <c r="G82" s="67">
        <v>22</v>
      </c>
    </row>
    <row r="83" spans="1:7" x14ac:dyDescent="0.25">
      <c r="A83" s="6" t="s">
        <v>417</v>
      </c>
      <c r="B83" s="6">
        <v>0</v>
      </c>
      <c r="C83" s="6">
        <v>0</v>
      </c>
      <c r="D83" s="6">
        <v>0</v>
      </c>
      <c r="E83" s="6">
        <v>0</v>
      </c>
      <c r="F83" s="6">
        <v>2</v>
      </c>
      <c r="G83" s="6">
        <v>2</v>
      </c>
    </row>
    <row r="84" spans="1:7" x14ac:dyDescent="0.25">
      <c r="A84" s="67" t="s">
        <v>418</v>
      </c>
      <c r="B84" s="67">
        <v>0</v>
      </c>
      <c r="C84" s="67">
        <v>0</v>
      </c>
      <c r="D84" s="67">
        <v>0</v>
      </c>
      <c r="E84" s="67">
        <v>0</v>
      </c>
      <c r="F84" s="67">
        <v>1</v>
      </c>
      <c r="G84" s="67">
        <v>1</v>
      </c>
    </row>
    <row r="85" spans="1:7" x14ac:dyDescent="0.25">
      <c r="A85" s="6" t="s">
        <v>419</v>
      </c>
      <c r="B85" s="6">
        <v>0</v>
      </c>
      <c r="C85" s="6">
        <v>0</v>
      </c>
      <c r="D85" s="6">
        <v>0</v>
      </c>
      <c r="E85" s="6">
        <v>6</v>
      </c>
      <c r="F85" s="6">
        <v>3</v>
      </c>
      <c r="G85" s="6">
        <v>9</v>
      </c>
    </row>
    <row r="86" spans="1:7" x14ac:dyDescent="0.25">
      <c r="A86" s="67" t="s">
        <v>420</v>
      </c>
      <c r="B86" s="67">
        <v>0</v>
      </c>
      <c r="C86" s="67">
        <v>2</v>
      </c>
      <c r="D86" s="67">
        <v>0</v>
      </c>
      <c r="E86" s="67">
        <v>2</v>
      </c>
      <c r="F86" s="67">
        <v>0</v>
      </c>
      <c r="G86" s="67">
        <v>4</v>
      </c>
    </row>
    <row r="87" spans="1:7" x14ac:dyDescent="0.25">
      <c r="A87" s="67" t="s">
        <v>421</v>
      </c>
      <c r="B87" s="67">
        <v>0</v>
      </c>
      <c r="C87" s="67">
        <v>0</v>
      </c>
      <c r="D87" s="67">
        <v>0</v>
      </c>
      <c r="E87" s="67">
        <v>6</v>
      </c>
      <c r="F87" s="67">
        <v>0</v>
      </c>
      <c r="G87" s="67">
        <v>6</v>
      </c>
    </row>
    <row r="88" spans="1:7" x14ac:dyDescent="0.25">
      <c r="A88" s="6" t="s">
        <v>422</v>
      </c>
      <c r="B88" s="6">
        <v>1</v>
      </c>
      <c r="C88" s="6">
        <v>0</v>
      </c>
      <c r="D88" s="6">
        <v>0</v>
      </c>
      <c r="E88" s="6">
        <v>0</v>
      </c>
      <c r="F88" s="6">
        <v>0</v>
      </c>
      <c r="G88" s="6">
        <v>1</v>
      </c>
    </row>
    <row r="89" spans="1:7" x14ac:dyDescent="0.25">
      <c r="A89" s="67" t="s">
        <v>423</v>
      </c>
      <c r="B89" s="67">
        <v>0</v>
      </c>
      <c r="C89" s="67">
        <v>0</v>
      </c>
      <c r="D89" s="67">
        <v>0</v>
      </c>
      <c r="E89" s="67">
        <v>2</v>
      </c>
      <c r="F89" s="67">
        <v>0</v>
      </c>
      <c r="G89" s="67">
        <v>2</v>
      </c>
    </row>
    <row r="90" spans="1:7" x14ac:dyDescent="0.25">
      <c r="A90" s="6" t="s">
        <v>424</v>
      </c>
      <c r="B90" s="6">
        <v>0</v>
      </c>
      <c r="C90" s="6">
        <v>0</v>
      </c>
      <c r="D90" s="6">
        <v>0</v>
      </c>
      <c r="E90" s="6">
        <v>1</v>
      </c>
      <c r="F90" s="6">
        <v>0</v>
      </c>
      <c r="G90" s="6">
        <v>1</v>
      </c>
    </row>
    <row r="91" spans="1:7" x14ac:dyDescent="0.25">
      <c r="A91" s="67" t="s">
        <v>425</v>
      </c>
      <c r="B91" s="67">
        <v>0</v>
      </c>
      <c r="C91" s="67">
        <v>5</v>
      </c>
      <c r="D91" s="67">
        <v>0</v>
      </c>
      <c r="E91" s="67">
        <v>5</v>
      </c>
      <c r="F91" s="67">
        <v>4</v>
      </c>
      <c r="G91" s="67">
        <v>14</v>
      </c>
    </row>
    <row r="92" spans="1:7" x14ac:dyDescent="0.25">
      <c r="A92" s="67" t="s">
        <v>426</v>
      </c>
      <c r="B92" s="67">
        <v>0</v>
      </c>
      <c r="C92" s="67">
        <v>4</v>
      </c>
      <c r="D92" s="67">
        <v>0</v>
      </c>
      <c r="E92" s="67">
        <v>0</v>
      </c>
      <c r="F92" s="67">
        <v>0</v>
      </c>
      <c r="G92" s="67">
        <v>4</v>
      </c>
    </row>
    <row r="93" spans="1:7" x14ac:dyDescent="0.25">
      <c r="A93" s="6" t="s">
        <v>427</v>
      </c>
      <c r="B93" s="6">
        <v>0</v>
      </c>
      <c r="C93" s="6">
        <v>0</v>
      </c>
      <c r="D93" s="6">
        <v>0</v>
      </c>
      <c r="E93" s="6">
        <v>6</v>
      </c>
      <c r="F93" s="6">
        <v>36</v>
      </c>
      <c r="G93" s="6">
        <v>42</v>
      </c>
    </row>
    <row r="94" spans="1:7" x14ac:dyDescent="0.25">
      <c r="A94" s="67" t="s">
        <v>428</v>
      </c>
      <c r="B94" s="67">
        <v>0</v>
      </c>
      <c r="C94" s="67">
        <v>1</v>
      </c>
      <c r="D94" s="67">
        <v>0</v>
      </c>
      <c r="E94" s="67">
        <v>0</v>
      </c>
      <c r="F94" s="67">
        <v>0</v>
      </c>
      <c r="G94" s="67">
        <v>1</v>
      </c>
    </row>
    <row r="95" spans="1:7" x14ac:dyDescent="0.25">
      <c r="A95" s="6" t="s">
        <v>429</v>
      </c>
      <c r="B95" s="6">
        <v>0</v>
      </c>
      <c r="C95" s="6">
        <v>4</v>
      </c>
      <c r="D95" s="6">
        <v>0</v>
      </c>
      <c r="E95" s="6">
        <v>0</v>
      </c>
      <c r="F95" s="6">
        <v>0</v>
      </c>
      <c r="G95" s="6">
        <v>4</v>
      </c>
    </row>
    <row r="96" spans="1:7" x14ac:dyDescent="0.25">
      <c r="A96" s="67" t="s">
        <v>430</v>
      </c>
      <c r="B96" s="67">
        <v>0</v>
      </c>
      <c r="C96" s="67">
        <v>1</v>
      </c>
      <c r="D96" s="67">
        <v>0</v>
      </c>
      <c r="E96" s="67">
        <v>0</v>
      </c>
      <c r="F96" s="67">
        <v>0</v>
      </c>
      <c r="G96" s="67">
        <v>1</v>
      </c>
    </row>
    <row r="97" spans="1:7" x14ac:dyDescent="0.25">
      <c r="A97" s="67" t="s">
        <v>431</v>
      </c>
      <c r="B97" s="67">
        <v>0</v>
      </c>
      <c r="C97" s="67">
        <v>127</v>
      </c>
      <c r="D97" s="67">
        <v>0</v>
      </c>
      <c r="E97" s="67">
        <v>4</v>
      </c>
      <c r="F97" s="67">
        <v>4</v>
      </c>
      <c r="G97" s="67">
        <v>135</v>
      </c>
    </row>
    <row r="98" spans="1:7" x14ac:dyDescent="0.25">
      <c r="A98" s="6" t="s">
        <v>432</v>
      </c>
      <c r="B98" s="6">
        <v>0</v>
      </c>
      <c r="C98" s="6">
        <v>0</v>
      </c>
      <c r="D98" s="6">
        <v>1</v>
      </c>
      <c r="E98" s="6">
        <v>0</v>
      </c>
      <c r="F98" s="6">
        <v>0</v>
      </c>
      <c r="G98" s="6">
        <v>1</v>
      </c>
    </row>
    <row r="99" spans="1:7" x14ac:dyDescent="0.25">
      <c r="A99" s="67" t="s">
        <v>433</v>
      </c>
      <c r="B99" s="67">
        <v>0</v>
      </c>
      <c r="C99" s="67">
        <v>0</v>
      </c>
      <c r="D99" s="67">
        <v>0</v>
      </c>
      <c r="E99" s="67">
        <v>7</v>
      </c>
      <c r="F99" s="67">
        <v>0</v>
      </c>
      <c r="G99" s="67">
        <v>7</v>
      </c>
    </row>
    <row r="100" spans="1:7" x14ac:dyDescent="0.25">
      <c r="A100" s="6" t="s">
        <v>434</v>
      </c>
      <c r="B100" s="6">
        <v>0</v>
      </c>
      <c r="C100" s="6">
        <v>0</v>
      </c>
      <c r="D100" s="6">
        <v>0</v>
      </c>
      <c r="E100" s="6">
        <v>11</v>
      </c>
      <c r="F100" s="6">
        <v>0</v>
      </c>
      <c r="G100" s="6">
        <v>11</v>
      </c>
    </row>
    <row r="101" spans="1:7" x14ac:dyDescent="0.25">
      <c r="A101" s="67" t="s">
        <v>435</v>
      </c>
      <c r="B101" s="67">
        <v>0</v>
      </c>
      <c r="C101" s="67">
        <v>0</v>
      </c>
      <c r="D101" s="67">
        <v>0</v>
      </c>
      <c r="E101" s="67">
        <v>1</v>
      </c>
      <c r="F101" s="67">
        <v>0</v>
      </c>
      <c r="G101" s="67">
        <v>1</v>
      </c>
    </row>
    <row r="102" spans="1:7" x14ac:dyDescent="0.25">
      <c r="A102" s="67" t="s">
        <v>436</v>
      </c>
      <c r="B102" s="67">
        <v>0</v>
      </c>
      <c r="C102" s="67">
        <v>1</v>
      </c>
      <c r="D102" s="67">
        <v>0</v>
      </c>
      <c r="E102" s="67">
        <v>0</v>
      </c>
      <c r="F102" s="67">
        <v>0</v>
      </c>
      <c r="G102" s="67">
        <v>1</v>
      </c>
    </row>
    <row r="103" spans="1:7" x14ac:dyDescent="0.25">
      <c r="A103" s="6" t="s">
        <v>437</v>
      </c>
      <c r="B103" s="6">
        <v>0</v>
      </c>
      <c r="C103" s="6">
        <v>1</v>
      </c>
      <c r="D103" s="6">
        <v>0</v>
      </c>
      <c r="E103" s="6">
        <v>1</v>
      </c>
      <c r="F103" s="6">
        <v>0</v>
      </c>
      <c r="G103" s="6">
        <v>2</v>
      </c>
    </row>
    <row r="104" spans="1:7" x14ac:dyDescent="0.25">
      <c r="A104" s="67" t="s">
        <v>438</v>
      </c>
      <c r="B104" s="67">
        <v>0</v>
      </c>
      <c r="C104" s="67">
        <v>26</v>
      </c>
      <c r="D104" s="67">
        <v>0</v>
      </c>
      <c r="E104" s="67">
        <v>0</v>
      </c>
      <c r="F104" s="67">
        <v>0</v>
      </c>
      <c r="G104" s="67">
        <v>26</v>
      </c>
    </row>
    <row r="105" spans="1:7" x14ac:dyDescent="0.25">
      <c r="A105" s="6" t="s">
        <v>439</v>
      </c>
      <c r="B105" s="6">
        <v>0</v>
      </c>
      <c r="C105" s="6">
        <v>0</v>
      </c>
      <c r="D105" s="6">
        <v>1</v>
      </c>
      <c r="E105" s="6">
        <v>0</v>
      </c>
      <c r="F105" s="6">
        <v>0</v>
      </c>
      <c r="G105" s="6">
        <v>1</v>
      </c>
    </row>
    <row r="106" spans="1:7" x14ac:dyDescent="0.25">
      <c r="A106" s="67" t="s">
        <v>440</v>
      </c>
      <c r="B106" s="67">
        <v>0</v>
      </c>
      <c r="C106" s="67">
        <v>8</v>
      </c>
      <c r="D106" s="67">
        <v>0</v>
      </c>
      <c r="E106" s="67">
        <v>0</v>
      </c>
      <c r="F106" s="67">
        <v>0</v>
      </c>
      <c r="G106" s="67">
        <v>8</v>
      </c>
    </row>
    <row r="107" spans="1:7" x14ac:dyDescent="0.25">
      <c r="A107" s="67" t="s">
        <v>441</v>
      </c>
      <c r="B107" s="67">
        <v>0</v>
      </c>
      <c r="C107" s="67">
        <v>0</v>
      </c>
      <c r="D107" s="67">
        <v>0</v>
      </c>
      <c r="E107" s="67">
        <v>1</v>
      </c>
      <c r="F107" s="67">
        <v>3</v>
      </c>
      <c r="G107" s="6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Carga Procesal</vt:lpstr>
      <vt:lpstr>Poblacion_Data</vt:lpstr>
      <vt:lpstr>Poblacion_Pivot</vt:lpstr>
      <vt:lpstr>Resumen_Provincia</vt:lpstr>
      <vt:lpstr>Detalle_Provincia</vt:lpstr>
      <vt:lpstr>Resumen_Tipo</vt:lpstr>
      <vt:lpstr>Data_Plana</vt:lpstr>
      <vt:lpstr>Resumen</vt:lpstr>
      <vt:lpstr>Audiencias_Data</vt:lpstr>
      <vt:lpstr>Audiencias_Pivot</vt:lpstr>
      <vt:lpstr>Alerta_Sobrecarga</vt:lpstr>
      <vt:lpstr>Pob_Proyeccion</vt:lpstr>
      <vt:lpstr>Jueces_Pob_2026</vt:lpstr>
      <vt:lpstr>Personal_Regimen</vt:lpstr>
      <vt:lpstr>Personal_Cargos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PJUDICIAL</cp:lastModifiedBy>
  <dcterms:created xsi:type="dcterms:W3CDTF">2026-05-05T02:51:48Z</dcterms:created>
  <dcterms:modified xsi:type="dcterms:W3CDTF">2026-05-12T16:35:53Z</dcterms:modified>
</cp:coreProperties>
</file>