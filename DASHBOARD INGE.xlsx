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er\Desktop\"/>
    </mc:Choice>
  </mc:AlternateContent>
  <xr:revisionPtr revIDLastSave="0" documentId="13_ncr:1_{786BA808-22DF-4B4C-83CF-FA7F11BA99AF}" xr6:coauthVersionLast="47" xr6:coauthVersionMax="47" xr10:uidLastSave="{00000000-0000-0000-0000-000000000000}"/>
  <bookViews>
    <workbookView xWindow="38280" yWindow="-120" windowWidth="29040" windowHeight="15720" tabRatio="801" activeTab="8" xr2:uid="{90D10F7A-1359-4ABA-98F0-955B20CA9A9B}"/>
  </bookViews>
  <sheets>
    <sheet name="Carga Procesal" sheetId="3" r:id="rId1"/>
    <sheet name="Poblacion_Data" sheetId="5" r:id="rId2"/>
    <sheet name="Poblacion_Pivot" sheetId="11" r:id="rId3"/>
    <sheet name="Resumen_Provincia" sheetId="7" r:id="rId4"/>
    <sheet name="Detalle_Provincia" sheetId="8" r:id="rId5"/>
    <sheet name="Resumen_Tipo" sheetId="9" r:id="rId6"/>
    <sheet name="Data_Plana" sheetId="10" r:id="rId7"/>
    <sheet name="Resumen" sheetId="12" r:id="rId8"/>
    <sheet name="Audiencias_Data" sheetId="13" r:id="rId9"/>
    <sheet name="Audiencias_Pivot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1" i="13" l="1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57" i="13"/>
  <c r="G56" i="13"/>
  <c r="G55" i="13"/>
  <c r="G54" i="13"/>
  <c r="G53" i="13"/>
  <c r="G52" i="13"/>
  <c r="G51" i="13"/>
  <c r="G50" i="13"/>
  <c r="G49" i="13"/>
  <c r="G48" i="13"/>
  <c r="G47" i="13"/>
  <c r="G46" i="13"/>
  <c r="G45" i="13"/>
  <c r="G41" i="13"/>
  <c r="G40" i="13"/>
  <c r="G39" i="13"/>
  <c r="G38" i="13"/>
  <c r="G37" i="13"/>
  <c r="G36" i="13"/>
  <c r="G31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E25" i="12"/>
  <c r="E24" i="12"/>
  <c r="E23" i="12"/>
  <c r="E22" i="12"/>
  <c r="E21" i="12"/>
  <c r="E20" i="12"/>
  <c r="E19" i="12"/>
  <c r="E18" i="12"/>
  <c r="E17" i="12"/>
  <c r="F13" i="12"/>
  <c r="E13" i="12"/>
  <c r="D13" i="12"/>
  <c r="C13" i="12"/>
  <c r="B13" i="12"/>
  <c r="F12" i="12"/>
  <c r="E12" i="12"/>
  <c r="F11" i="12"/>
  <c r="E11" i="12"/>
  <c r="F10" i="12"/>
  <c r="E10" i="12"/>
  <c r="F9" i="12"/>
  <c r="E9" i="12"/>
  <c r="F8" i="12"/>
  <c r="E8" i="12"/>
  <c r="F7" i="12"/>
  <c r="E7" i="12"/>
  <c r="F6" i="12"/>
  <c r="E6" i="12"/>
  <c r="F5" i="12"/>
  <c r="E5" i="12"/>
  <c r="H74" i="5" l="1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H3" i="5"/>
  <c r="G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25647A-4132-4283-A4FB-D22D7FC38EDD}" keepAlive="1" name="Consulta - audiencias_junin" description="Conexión a la consulta 'audiencias_junin' en el libro." type="5" refreshedVersion="0" background="1">
    <dbPr connection="Provider=Microsoft.Mashup.OleDb.1;Data Source=$Workbook$;Location=audiencias_junin;Extended Properties=&quot;&quot;" command="SELECT * FROM [audiencias_junin]"/>
  </connection>
</connections>
</file>

<file path=xl/sharedStrings.xml><?xml version="1.0" encoding="utf-8"?>
<sst xmlns="http://schemas.openxmlformats.org/spreadsheetml/2006/main" count="2774" uniqueCount="257">
  <si>
    <t>PROVINCIA</t>
  </si>
  <si>
    <t>AÑO</t>
  </si>
  <si>
    <t>PROGRAMADAS</t>
  </si>
  <si>
    <t>ATENDIDAS</t>
  </si>
  <si>
    <t>SUSPENDIDAS</t>
  </si>
  <si>
    <t>Huancayo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</si>
  <si>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</si>
  <si>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</si>
  <si>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</si>
  <si>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</si>
  <si>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</si>
  <si>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</si>
  <si>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</si>
  <si>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</si>
  <si>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</si>
  <si>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2026-Mar</t>
  </si>
  <si>
    <t>Tarma</t>
  </si>
  <si>
    <t>Chupaca</t>
  </si>
  <si>
    <t>Pampas</t>
  </si>
  <si>
    <t>Jauja</t>
  </si>
  <si>
    <t>La Concepcion</t>
  </si>
  <si>
    <t>La Oroya</t>
  </si>
  <si>
    <t>Junin</t>
  </si>
  <si>
    <t>Año</t>
  </si>
  <si>
    <t>Especialidad</t>
  </si>
  <si>
    <t>Ingresos</t>
  </si>
  <si>
    <t>Carga Procesal</t>
  </si>
  <si>
    <t>Resueltos</t>
  </si>
  <si>
    <t>Civil</t>
  </si>
  <si>
    <t>Familia</t>
  </si>
  <si>
    <t>Laboral</t>
  </si>
  <si>
    <t>Penal</t>
  </si>
  <si>
    <t>Constitucional</t>
  </si>
  <si>
    <t>Extinción Dominio</t>
  </si>
  <si>
    <t>PROYECCIONES POBLACIONALES — REGIÓN JUNÍN (INEI 2007–2031)</t>
  </si>
  <si>
    <t>TIPO_AÑO</t>
  </si>
  <si>
    <t>VARONES</t>
  </si>
  <si>
    <t>MUJERES</t>
  </si>
  <si>
    <t>TOTAL</t>
  </si>
  <si>
    <t>PCT_VARONES</t>
  </si>
  <si>
    <t>PCT_MUJERES</t>
  </si>
  <si>
    <t>TASA_CREC_ANUAL</t>
  </si>
  <si>
    <t>Junín (región)</t>
  </si>
  <si>
    <t>Censal</t>
  </si>
  <si>
    <t>Proyección</t>
  </si>
  <si>
    <t>Concepción</t>
  </si>
  <si>
    <t>Junín (prov.)</t>
  </si>
  <si>
    <t>Yauli</t>
  </si>
  <si>
    <t>Tayacaja</t>
  </si>
  <si>
    <t>MAGISTRADOS POR PROVINCIA — RESUMEN</t>
  </si>
  <si>
    <t>JPL</t>
  </si>
  <si>
    <t>JIP</t>
  </si>
  <si>
    <t>JUP</t>
  </si>
  <si>
    <t>SALA</t>
  </si>
  <si>
    <t>TITULARES</t>
  </si>
  <si>
    <t>SUPERN./PROV.</t>
  </si>
  <si>
    <t>Junín</t>
  </si>
  <si>
    <t>TOTAL CSJJ</t>
  </si>
  <si>
    <t>DETALLE DE ÓRGANOS JURISDICCIONALES POR PROVINCIA</t>
  </si>
  <si>
    <t>TIPO</t>
  </si>
  <si>
    <t>ESPECIALIDAD</t>
  </si>
  <si>
    <t>N°</t>
  </si>
  <si>
    <t>SEDE</t>
  </si>
  <si>
    <t>MAGISTRADO</t>
  </si>
  <si>
    <t>SEXO</t>
  </si>
  <si>
    <t>CONDICIÓN</t>
  </si>
  <si>
    <t xml:space="preserve">  PROVINCIA DE HUANCAYO</t>
  </si>
  <si>
    <t>ORIHUELA ABREGU ALEXANDER</t>
  </si>
  <si>
    <t>Varón</t>
  </si>
  <si>
    <t>Titular</t>
  </si>
  <si>
    <t>1°</t>
  </si>
  <si>
    <t>CRISTOVAL DE LA CRUZ TIMOTEO</t>
  </si>
  <si>
    <t>2°</t>
  </si>
  <si>
    <t>QUISPE PARICAHUA CLETO MARCIAL</t>
  </si>
  <si>
    <t>Penal Apelaciones</t>
  </si>
  <si>
    <t>CHIPANA GUILLEN WALTER</t>
  </si>
  <si>
    <t>CARVO CASTRO CARLOS ABRAHAM</t>
  </si>
  <si>
    <t>Provisional</t>
  </si>
  <si>
    <t>Penal Apelaciones Corrupción</t>
  </si>
  <si>
    <t>RODRIGUEZ HUAMANI CRISTOBAL EDUARDO</t>
  </si>
  <si>
    <t>VICUÑA ZAMORA JESUS</t>
  </si>
  <si>
    <t>BUSTAMANTE VERA JORGE ENRIQUE</t>
  </si>
  <si>
    <t>3°</t>
  </si>
  <si>
    <t>ARMAS INGA ESTRELLA</t>
  </si>
  <si>
    <t>Mujer</t>
  </si>
  <si>
    <t>4°</t>
  </si>
  <si>
    <t>BELTRAN GUZMAN ERICH JOHAN</t>
  </si>
  <si>
    <t>Supernumerario</t>
  </si>
  <si>
    <t>5°</t>
  </si>
  <si>
    <t>MANTARI MOLINA MANUEL</t>
  </si>
  <si>
    <t>Comercial</t>
  </si>
  <si>
    <t>TORRES ALTEZ DANTE REYNALDO</t>
  </si>
  <si>
    <t>CAJINCHO YAÑEZ DORIS</t>
  </si>
  <si>
    <t>CORILLA BAQUERIZO JENIS AIDA</t>
  </si>
  <si>
    <t>OLIVERA MONTERO IRMA ROSA</t>
  </si>
  <si>
    <t>MONDARGO MARTINEZ NEDER ELIAS</t>
  </si>
  <si>
    <t>ALVARADO PEREZ JUANA VIRGINIA</t>
  </si>
  <si>
    <t>Familia VCM</t>
  </si>
  <si>
    <t>10°</t>
  </si>
  <si>
    <t>AUQUI HUERTA TEOFANES EDGAR</t>
  </si>
  <si>
    <t>SUASNABAR TOLENTINO LUIS RICARDO</t>
  </si>
  <si>
    <t>6°</t>
  </si>
  <si>
    <t>MORALES MONTES GRACIELA</t>
  </si>
  <si>
    <t>7°</t>
  </si>
  <si>
    <t>BALDEON GAMARRA ANGELA BEATRIZ</t>
  </si>
  <si>
    <t>8°</t>
  </si>
  <si>
    <t>TORRES DELGADO EDWIN VICTOR</t>
  </si>
  <si>
    <t>9°</t>
  </si>
  <si>
    <t>CARHUAMACA QUISPE GABRIELA</t>
  </si>
  <si>
    <t>Penal Colegiado</t>
  </si>
  <si>
    <t>TEVES VALDEZ NICK</t>
  </si>
  <si>
    <t>Penal Colegiado Trans. VCM</t>
  </si>
  <si>
    <t>YUPANQUI PEREZ CINTHIA MILAGROS</t>
  </si>
  <si>
    <t>CAMARENA MADRID WILDER WALTER</t>
  </si>
  <si>
    <t>Penal Unip. Corrupción</t>
  </si>
  <si>
    <t>ALEJANDRO HUANUCO ROSEMARIE CLEMENCIA</t>
  </si>
  <si>
    <t>ARROYO AMES GUIDO REYNALDO</t>
  </si>
  <si>
    <t>Penal Unip. VCM</t>
  </si>
  <si>
    <t>CASTILLO GONZALES EMPERATRIZ VICTORIA</t>
  </si>
  <si>
    <t>CHUQUIPUIMA RICSE MERCEDES GEORGINA</t>
  </si>
  <si>
    <t>OBLITAS CEVALLOS LUIS ROLANDO</t>
  </si>
  <si>
    <t>Penal Unipersonal</t>
  </si>
  <si>
    <t>RODRIGUEZ LIZANA RAFAEL</t>
  </si>
  <si>
    <t>GONZALES ORE YONNY ALBINO</t>
  </si>
  <si>
    <t>PALOMINO PRADO RICHARD</t>
  </si>
  <si>
    <t>FERNÁNDEZ ORDOÑEZ AMPARO</t>
  </si>
  <si>
    <t>Trabajo</t>
  </si>
  <si>
    <t>ALVA RICALDI PAUL FAUSTINO</t>
  </si>
  <si>
    <t>CHANCO CASTILLON ESAU</t>
  </si>
  <si>
    <t>QUINTEROS CARLOS LETICIA</t>
  </si>
  <si>
    <t>GOMEZ BAZALAR IRIS EDITH</t>
  </si>
  <si>
    <t>Trabajo Trans.</t>
  </si>
  <si>
    <t>ARTEAGA FERNANDEZ ISAAC ARTURO</t>
  </si>
  <si>
    <t>Extinción de Dominio</t>
  </si>
  <si>
    <t>CONCHA CHAVEZ WILIAMAN PERCY</t>
  </si>
  <si>
    <t>Invest. Prep. Corrupción</t>
  </si>
  <si>
    <t>BALDEON QUISPE JULY ELIANE</t>
  </si>
  <si>
    <t>PALOMINO HUATUCO SAMMY KATHERINE</t>
  </si>
  <si>
    <t>Invest. Prep. Flagrancia</t>
  </si>
  <si>
    <t>GARCIA DEXTRE CLAUDIA BALDRAMINA</t>
  </si>
  <si>
    <t>LONGARAY CASTRO ROGER OMAR</t>
  </si>
  <si>
    <t>Invest. Prep. VCM</t>
  </si>
  <si>
    <t>GUTIERREZ HUAMAN HOOVER OSCAR</t>
  </si>
  <si>
    <t>JINES RAFAEL MARIBEL</t>
  </si>
  <si>
    <t>ROJAS CHANCASANAMPA MICHAEL HENRY</t>
  </si>
  <si>
    <t>Invest. Preparatoria</t>
  </si>
  <si>
    <t>HERRERA RIVAS RAFAEL AGUSTIN</t>
  </si>
  <si>
    <t>BELLO MERLO EVER</t>
  </si>
  <si>
    <t>GUADALUPE ULLOA RUBEN CESARIO</t>
  </si>
  <si>
    <t>San Agustín de Cajas</t>
  </si>
  <si>
    <t>DUEÑAS IZARRA FLOR DE LIZ</t>
  </si>
  <si>
    <t>JORGE RAMIREZ KATHYA CORINA</t>
  </si>
  <si>
    <t>Chilca</t>
  </si>
  <si>
    <t>CHAUCAYANQUI ZORRILLA RUTH</t>
  </si>
  <si>
    <t>CAMARENA CAMARENA MARCO ANTONIO</t>
  </si>
  <si>
    <t>CASTILLO AYALA MILANOVA DELIA</t>
  </si>
  <si>
    <t>CORILLOCLLA SANCHEZ DIANA LUZ</t>
  </si>
  <si>
    <t>El Tambo</t>
  </si>
  <si>
    <t>VELASQUEZ VIVAS ALIDA SOLEDAD</t>
  </si>
  <si>
    <t>ALANYA CASTILLO MIGUEL ANGEL</t>
  </si>
  <si>
    <t>URIBE MORAN MIGUEL ANGEL</t>
  </si>
  <si>
    <t>BARRIOS MORALES LUZ MARIBEL</t>
  </si>
  <si>
    <t>ARAUJO MONTES NELVA MICARELLI</t>
  </si>
  <si>
    <t xml:space="preserve">  PROVINCIA DE TARMA</t>
  </si>
  <si>
    <t>Mixta</t>
  </si>
  <si>
    <t>OLIVERA GUERRA NICK</t>
  </si>
  <si>
    <t>PEÑA TORRES EVGUENI</t>
  </si>
  <si>
    <t>ROJAS LAZARO WILLIAM RAUL</t>
  </si>
  <si>
    <t>CACHAY ROJAS MARIA DOLORES</t>
  </si>
  <si>
    <t>QUISPE VILCAPOMA RICHARTH</t>
  </si>
  <si>
    <t>VILLANUEVA ALTAMIRANO EDWIN WILSON</t>
  </si>
  <si>
    <t>CARHUAMACA CLAUDIO ALEX JUAN</t>
  </si>
  <si>
    <t>DIESTRA VIVAR EDGARDO RODOLFO</t>
  </si>
  <si>
    <t>SILVERIO CAMAHUALI GIULIANA PAOLA</t>
  </si>
  <si>
    <t xml:space="preserve">  PROVINCIA DE JAUJA</t>
  </si>
  <si>
    <t>BORDA VARGAS ITALO ARTURO</t>
  </si>
  <si>
    <t>RUCABADO ROMERO BLANCA NORMA</t>
  </si>
  <si>
    <t>PINO PUMA HENRY</t>
  </si>
  <si>
    <t>ARROYO VELITA HUGO</t>
  </si>
  <si>
    <t>PERALTA PAMPA LIZBETH PAOLA</t>
  </si>
  <si>
    <t>HUAMAN CARRASCO SEGUNDO JUAN</t>
  </si>
  <si>
    <t>MAMANI ESCOBAR CHRISTIAN ESBIARDO</t>
  </si>
  <si>
    <t xml:space="preserve">  PROVINCIA DE CHUPACA</t>
  </si>
  <si>
    <t>LUQUE PINTO JORGE RENE</t>
  </si>
  <si>
    <t>Civil Mixto Trans.</t>
  </si>
  <si>
    <t>JIMÉNEZ PATIÑO HENRY JUAN</t>
  </si>
  <si>
    <t>CURIÑAUPA MEDINA MARIO LUIS</t>
  </si>
  <si>
    <t>ZEBALLOS HURTADO GILMAR LEONIDAS</t>
  </si>
  <si>
    <t>DUEÑAS HINOJOSA ROY ROGER</t>
  </si>
  <si>
    <t xml:space="preserve">  PROVINCIA DE CONCEPCIÓN</t>
  </si>
  <si>
    <t>ROJAS MORALES NADIA</t>
  </si>
  <si>
    <t>LANDEO ALVAREZ FERNAN OLAVO</t>
  </si>
  <si>
    <t>PALOMINO LEON FIDEL HUGO</t>
  </si>
  <si>
    <t>ROMAN RAMOS JIMMY ANTHONY</t>
  </si>
  <si>
    <t xml:space="preserve">  PROVINCIA DE YAULI</t>
  </si>
  <si>
    <t>SANTANA SOCUALAYA JESUS</t>
  </si>
  <si>
    <t>LLAMOCA MILLA SONIA AURORA</t>
  </si>
  <si>
    <t>SANTANA ANTEZANA MARIA ELENA</t>
  </si>
  <si>
    <t>HUACHOS BENITES ELIZABETH</t>
  </si>
  <si>
    <t xml:space="preserve">  PROVINCIA DE JUNÍN</t>
  </si>
  <si>
    <t>CORZO HINOJOSA SAUL YUNISHIRO</t>
  </si>
  <si>
    <t>CASTILLO RIVERA ELMER</t>
  </si>
  <si>
    <t>CALIZAYA HUALPA RUBEN TOMAS</t>
  </si>
  <si>
    <t>PEREZ NAVARRO LENIN RODER</t>
  </si>
  <si>
    <t xml:space="preserve">  PROVINCIA DE TAYACAJA</t>
  </si>
  <si>
    <t>LLALLICO MANZANEDO ALBERTO HENRY</t>
  </si>
  <si>
    <t>PINEDA CHAVEZ ROXANA</t>
  </si>
  <si>
    <t>MATOS CENTENO JOSE LEONEL</t>
  </si>
  <si>
    <t>MARTINEZ GARCIA ABEL YAHEVE</t>
  </si>
  <si>
    <t>Acobamba</t>
  </si>
  <si>
    <t>QUIROZ POZO WALKER</t>
  </si>
  <si>
    <t>Surcubamba</t>
  </si>
  <si>
    <t>CUADRADO MARIN JORGE ALBERTO</t>
  </si>
  <si>
    <t>DISTRIBUCIÓN POR TIPO DE ÓRGANO JURISDICCIONAL</t>
  </si>
  <si>
    <t>JPL — Juzgado de Paz Letrado  (20 magistrados)</t>
  </si>
  <si>
    <t>JIP — Juzgado de Investigación Preparatoria  (20 magistrados)</t>
  </si>
  <si>
    <t>JUP — Juzgado Unipersonal / Especializado  (54 magistrados)</t>
  </si>
  <si>
    <t>SALA — Sala Superior  (7 magistrados)</t>
  </si>
  <si>
    <t>LEYENDA — Condición: T=Titular | S=Supernumerario | P=Provisional     Sexo: M=Varón | F=Mujer</t>
  </si>
  <si>
    <t>MAGISTRADOS CSJJ — DATA PLANA PARA DASHBOARD</t>
  </si>
  <si>
    <t>SEDE_LOCALIDAD</t>
  </si>
  <si>
    <t>TIPO_ORGANO</t>
  </si>
  <si>
    <t>NUMERO</t>
  </si>
  <si>
    <t>NOMBRE_COMPLETO</t>
  </si>
  <si>
    <t>CONDICION</t>
  </si>
  <si>
    <t>CONDICION_LABEL</t>
  </si>
  <si>
    <t>S</t>
  </si>
  <si>
    <t>T</t>
  </si>
  <si>
    <t>P</t>
  </si>
  <si>
    <t>POBLACIÓN — PIVOT VARONES / MUJERES / TOTAL POR PROVINCIA Y AÑO</t>
  </si>
  <si>
    <t>MÉTRICA</t>
  </si>
  <si>
    <t>2007</t>
  </si>
  <si>
    <t>2026</t>
  </si>
  <si>
    <t>2027</t>
  </si>
  <si>
    <t>2028</t>
  </si>
  <si>
    <t>2029</t>
  </si>
  <si>
    <t>2030</t>
  </si>
  <si>
    <t>2031</t>
  </si>
  <si>
    <t>Proyec.</t>
  </si>
  <si>
    <t>Varones</t>
  </si>
  <si>
    <t>Mujeres</t>
  </si>
  <si>
    <t>Total</t>
  </si>
  <si>
    <t>RESUMEN EJECUTIVO — CSJJ JUNÍN</t>
  </si>
  <si>
    <t>AUDIENCIAS 2025 POR SEDE</t>
  </si>
  <si>
    <t>% ATENCIÓN</t>
  </si>
  <si>
    <t>% SUSPENSIÓN</t>
  </si>
  <si>
    <t>POBLACIÓN PROYECTADA 2026 POR PROVINCIA</t>
  </si>
  <si>
    <t>% MUJERES</t>
  </si>
  <si>
    <t>TASA CREC.</t>
  </si>
  <si>
    <t>Fuente: INEI (proyecciones poblacionales) y CSJJ (audiencias)</t>
  </si>
  <si>
    <t>TASA_ATENCION</t>
  </si>
  <si>
    <t>Anual</t>
  </si>
  <si>
    <t>Parcial</t>
  </si>
  <si>
    <t>AUDIENCIAS — VISTA PIVOT POR SEDE Y AÑO</t>
  </si>
  <si>
    <t>Programadas</t>
  </si>
  <si>
    <t>Atendidas</t>
  </si>
  <si>
    <t>Suspendidas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</si>
</sst>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8"/>
      <color rgb="FFFFFFFF"/>
      <name val="Arial"/>
      <family val="2"/>
    </font>
    <font>
      <i/>
      <sz val="8"/>
      <color rgb="FF59595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4A3A8A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D9EAD3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E2DCEF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6E4F0"/>
      </patternFill>
    </fill>
    <fill>
      <patternFill patternType="solid">
        <fgColor rgb="FFEDEDED"/>
        <bgColor rgb="FFF2F2F2"/>
      </patternFill>
    </fill>
    <fill>
      <patternFill patternType="solid">
        <fgColor rgb="FFF4CCCC"/>
        <bgColor rgb="FFFFE0B2"/>
      </patternFill>
    </fill>
    <fill>
      <patternFill patternType="solid">
        <fgColor rgb="FFFFE0B2"/>
        <bgColor rgb="FFFCE4D6"/>
      </patternFill>
    </fill>
    <fill>
      <patternFill patternType="solid">
        <fgColor rgb="FF1F4E79"/>
        <bgColor rgb="FF0D6B6E"/>
      </patternFill>
    </fill>
    <fill>
      <patternFill patternType="solid">
        <fgColor rgb="FF595959"/>
        <bgColor rgb="FF4A3A8A"/>
      </patternFill>
    </fill>
    <fill>
      <patternFill patternType="solid">
        <fgColor rgb="FFF2F2F2"/>
        <bgColor rgb="FFFCE4EC"/>
      </patternFill>
    </fill>
    <fill>
      <patternFill patternType="solid">
        <fgColor rgb="FFD6E4F0"/>
        <bgColor rgb="FFE2DCEF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1D6B4A"/>
        <bgColor rgb="FF0D6B6E"/>
      </patternFill>
    </fill>
    <fill>
      <patternFill patternType="solid">
        <fgColor rgb="FF843C0C"/>
        <bgColor rgb="FF7B3F00"/>
      </patternFill>
    </fill>
    <fill>
      <patternFill patternType="solid">
        <fgColor rgb="FF0D6B6E"/>
        <bgColor rgb="FF1D6B4A"/>
      </patternFill>
    </fill>
    <fill>
      <patternFill patternType="solid">
        <fgColor rgb="FF7B3F00"/>
        <bgColor rgb="FF843C0C"/>
      </patternFill>
    </fill>
    <fill>
      <patternFill patternType="solid">
        <fgColor rgb="FF5C3317"/>
        <bgColor rgb="FF7B3F00"/>
      </patternFill>
    </fill>
    <fill>
      <patternFill patternType="solid">
        <fgColor rgb="FFB8860B"/>
        <bgColor rgb="FFFF990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DEDED"/>
      </patternFill>
    </fill>
    <fill>
      <patternFill patternType="solid">
        <fgColor rgb="FF1F4E79"/>
        <bgColor rgb="FF1D6B4A"/>
      </patternFill>
    </fill>
    <fill>
      <patternFill patternType="solid">
        <fgColor rgb="FF1D6B4A"/>
        <bgColor rgb="FF1F4E79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0" fontId="1" fillId="0" borderId="0"/>
  </cellStyleXfs>
  <cellXfs count="91">
    <xf numFmtId="0" fontId="0" fillId="0" borderId="0" xfId="0"/>
    <xf numFmtId="3" fontId="0" fillId="0" borderId="0" xfId="0" applyNumberFormat="1"/>
    <xf numFmtId="0" fontId="1" fillId="0" borderId="0" xfId="1"/>
    <xf numFmtId="0" fontId="3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/>
    </xf>
    <xf numFmtId="0" fontId="5" fillId="4" borderId="1" xfId="1" applyFont="1" applyFill="1" applyBorder="1" applyAlignment="1">
      <alignment horizontal="center" vertical="center"/>
    </xf>
    <xf numFmtId="3" fontId="5" fillId="4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 wrapText="1"/>
    </xf>
    <xf numFmtId="164" fontId="5" fillId="5" borderId="1" xfId="1" applyNumberFormat="1" applyFont="1" applyFill="1" applyBorder="1" applyAlignment="1">
      <alignment horizontal="center" vertical="center" wrapText="1"/>
    </xf>
    <xf numFmtId="3" fontId="5" fillId="6" borderId="1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horizontal="left" vertical="center"/>
    </xf>
    <xf numFmtId="0" fontId="4" fillId="8" borderId="1" xfId="1" applyFont="1" applyFill="1" applyBorder="1" applyAlignment="1">
      <alignment horizontal="left" vertical="center"/>
    </xf>
    <xf numFmtId="0" fontId="4" fillId="9" borderId="1" xfId="1" applyFont="1" applyFill="1" applyBorder="1" applyAlignment="1">
      <alignment horizontal="left" vertical="center"/>
    </xf>
    <xf numFmtId="0" fontId="4" fillId="10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/>
    </xf>
    <xf numFmtId="0" fontId="4" fillId="12" borderId="1" xfId="1" applyFont="1" applyFill="1" applyBorder="1" applyAlignment="1">
      <alignment horizontal="left" vertical="center"/>
    </xf>
    <xf numFmtId="164" fontId="5" fillId="8" borderId="1" xfId="1" applyNumberFormat="1" applyFont="1" applyFill="1" applyBorder="1" applyAlignment="1">
      <alignment horizontal="center" vertical="center" wrapText="1"/>
    </xf>
    <xf numFmtId="0" fontId="6" fillId="14" borderId="1" xfId="1" applyFont="1" applyFill="1" applyBorder="1" applyAlignment="1">
      <alignment horizontal="center" vertical="center" wrapText="1"/>
    </xf>
    <xf numFmtId="0" fontId="6" fillId="13" borderId="1" xfId="1" applyFont="1" applyFill="1" applyBorder="1" applyAlignment="1">
      <alignment horizontal="left" vertical="center" wrapText="1"/>
    </xf>
    <xf numFmtId="0" fontId="7" fillId="15" borderId="1" xfId="1" applyFont="1" applyFill="1" applyBorder="1" applyAlignment="1">
      <alignment horizontal="center" vertical="center" wrapText="1"/>
    </xf>
    <xf numFmtId="0" fontId="8" fillId="16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 wrapText="1"/>
    </xf>
    <xf numFmtId="0" fontId="8" fillId="7" borderId="1" xfId="1" applyFont="1" applyFill="1" applyBorder="1" applyAlignment="1">
      <alignment horizontal="center" vertical="center" wrapText="1"/>
    </xf>
    <xf numFmtId="0" fontId="8" fillId="17" borderId="1" xfId="1" applyFont="1" applyFill="1" applyBorder="1" applyAlignment="1">
      <alignment horizontal="center" vertical="center" wrapText="1"/>
    </xf>
    <xf numFmtId="0" fontId="8" fillId="18" borderId="1" xfId="1" applyFont="1" applyFill="1" applyBorder="1" applyAlignment="1">
      <alignment horizontal="center" vertical="center" wrapText="1"/>
    </xf>
    <xf numFmtId="0" fontId="6" fillId="19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8" fillId="4" borderId="1" xfId="1" applyFont="1" applyFill="1" applyBorder="1" applyAlignment="1">
      <alignment horizontal="center" vertical="center" wrapText="1"/>
    </xf>
    <xf numFmtId="0" fontId="6" fillId="20" borderId="1" xfId="1" applyFont="1" applyFill="1" applyBorder="1" applyAlignment="1">
      <alignment horizontal="left" vertical="center" wrapText="1"/>
    </xf>
    <xf numFmtId="0" fontId="6" fillId="21" borderId="1" xfId="1" applyFont="1" applyFill="1" applyBorder="1" applyAlignment="1">
      <alignment horizontal="left" vertical="center" wrapText="1"/>
    </xf>
    <xf numFmtId="0" fontId="6" fillId="14" borderId="1" xfId="1" applyFont="1" applyFill="1" applyBorder="1" applyAlignment="1">
      <alignment horizontal="left" vertical="center" wrapText="1"/>
    </xf>
    <xf numFmtId="0" fontId="6" fillId="22" borderId="1" xfId="1" applyFont="1" applyFill="1" applyBorder="1" applyAlignment="1">
      <alignment horizontal="left" vertical="center" wrapText="1"/>
    </xf>
    <xf numFmtId="0" fontId="6" fillId="23" borderId="1" xfId="1" applyFont="1" applyFill="1" applyBorder="1" applyAlignment="1">
      <alignment horizontal="left" vertical="center" wrapText="1"/>
    </xf>
    <xf numFmtId="0" fontId="6" fillId="13" borderId="1" xfId="1" applyFont="1" applyFill="1" applyBorder="1" applyAlignment="1">
      <alignment horizontal="center" vertical="center" wrapText="1"/>
    </xf>
    <xf numFmtId="0" fontId="9" fillId="24" borderId="1" xfId="1" applyFont="1" applyFill="1" applyBorder="1" applyAlignment="1">
      <alignment horizontal="center" vertical="center" wrapText="1"/>
    </xf>
    <xf numFmtId="0" fontId="8" fillId="4" borderId="1" xfId="1" applyFont="1" applyFill="1" applyBorder="1" applyAlignment="1">
      <alignment horizontal="left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8" fillId="15" borderId="1" xfId="1" applyFont="1" applyFill="1" applyBorder="1" applyAlignment="1">
      <alignment horizontal="center" vertical="center" wrapText="1"/>
    </xf>
    <xf numFmtId="0" fontId="9" fillId="19" borderId="1" xfId="1" applyFont="1" applyFill="1" applyBorder="1" applyAlignment="1">
      <alignment horizontal="center" vertical="center" wrapText="1"/>
    </xf>
    <xf numFmtId="0" fontId="9" fillId="25" borderId="1" xfId="1" applyFont="1" applyFill="1" applyBorder="1" applyAlignment="1">
      <alignment horizontal="center" vertical="center" wrapText="1"/>
    </xf>
    <xf numFmtId="0" fontId="9" fillId="14" borderId="1" xfId="1" applyFont="1" applyFill="1" applyBorder="1" applyAlignment="1">
      <alignment horizontal="center" vertical="center" wrapText="1"/>
    </xf>
    <xf numFmtId="0" fontId="7" fillId="16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7" fillId="7" borderId="1" xfId="1" applyFont="1" applyFill="1" applyBorder="1" applyAlignment="1">
      <alignment horizontal="center" vertical="center" wrapText="1"/>
    </xf>
    <xf numFmtId="0" fontId="7" fillId="17" borderId="1" xfId="1" applyFont="1" applyFill="1" applyBorder="1" applyAlignment="1">
      <alignment horizontal="center" vertical="center" wrapText="1"/>
    </xf>
    <xf numFmtId="0" fontId="6" fillId="25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3" fillId="25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left" vertical="center"/>
    </xf>
    <xf numFmtId="0" fontId="5" fillId="7" borderId="1" xfId="1" applyFont="1" applyFill="1" applyBorder="1" applyAlignment="1">
      <alignment horizontal="left" vertical="center"/>
    </xf>
    <xf numFmtId="0" fontId="5" fillId="26" borderId="1" xfId="1" applyFont="1" applyFill="1" applyBorder="1" applyAlignment="1">
      <alignment horizontal="left" vertical="center"/>
    </xf>
    <xf numFmtId="0" fontId="3" fillId="14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7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4" fillId="8" borderId="1" xfId="1" applyFont="1" applyFill="1" applyBorder="1" applyAlignment="1">
      <alignment horizontal="left" vertical="center" wrapText="1"/>
    </xf>
    <xf numFmtId="0" fontId="4" fillId="9" borderId="1" xfId="1" applyFont="1" applyFill="1" applyBorder="1" applyAlignment="1">
      <alignment horizontal="left" vertical="center" wrapText="1"/>
    </xf>
    <xf numFmtId="0" fontId="4" fillId="10" borderId="1" xfId="1" applyFont="1" applyFill="1" applyBorder="1" applyAlignment="1">
      <alignment horizontal="left" vertical="center" wrapText="1"/>
    </xf>
    <xf numFmtId="0" fontId="4" fillId="11" borderId="1" xfId="1" applyFont="1" applyFill="1" applyBorder="1" applyAlignment="1">
      <alignment horizontal="left" vertical="center" wrapText="1"/>
    </xf>
    <xf numFmtId="0" fontId="4" fillId="26" borderId="1" xfId="1" applyFont="1" applyFill="1" applyBorder="1" applyAlignment="1">
      <alignment horizontal="left" vertical="center" wrapText="1"/>
    </xf>
    <xf numFmtId="3" fontId="4" fillId="26" borderId="1" xfId="1" applyNumberFormat="1" applyFont="1" applyFill="1" applyBorder="1" applyAlignment="1">
      <alignment horizontal="center" vertical="center" wrapText="1"/>
    </xf>
    <xf numFmtId="164" fontId="4" fillId="26" borderId="1" xfId="1" applyNumberFormat="1" applyFont="1" applyFill="1" applyBorder="1" applyAlignment="1">
      <alignment horizontal="center" vertical="center" wrapText="1"/>
    </xf>
    <xf numFmtId="164" fontId="5" fillId="7" borderId="1" xfId="1" applyNumberFormat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left"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5" fillId="4" borderId="1" xfId="1" applyFont="1" applyFill="1" applyBorder="1" applyAlignment="1">
      <alignment horizontal="left" vertical="center"/>
    </xf>
    <xf numFmtId="3" fontId="5" fillId="26" borderId="1" xfId="1" applyNumberFormat="1" applyFont="1" applyFill="1" applyBorder="1" applyAlignment="1">
      <alignment horizontal="center" vertical="center"/>
    </xf>
    <xf numFmtId="0" fontId="11" fillId="27" borderId="0" xfId="1" applyFont="1" applyFill="1" applyAlignment="1">
      <alignment horizontal="center" vertical="center" wrapText="1"/>
    </xf>
    <xf numFmtId="0" fontId="12" fillId="25" borderId="0" xfId="1" applyFont="1" applyFill="1" applyAlignment="1">
      <alignment horizontal="center" vertical="center" wrapText="1"/>
    </xf>
    <xf numFmtId="0" fontId="12" fillId="2" borderId="0" xfId="1" applyFont="1" applyFill="1" applyAlignment="1">
      <alignment horizontal="center" vertical="center" wrapText="1"/>
    </xf>
    <xf numFmtId="0" fontId="10" fillId="0" borderId="0" xfId="1" applyFont="1"/>
    <xf numFmtId="0" fontId="2" fillId="2" borderId="0" xfId="1" applyFont="1" applyFill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2" fillId="13" borderId="0" xfId="1" applyFont="1" applyFill="1" applyAlignment="1">
      <alignment horizontal="center" vertical="center" wrapText="1"/>
    </xf>
    <xf numFmtId="0" fontId="3" fillId="14" borderId="2" xfId="1" applyFont="1" applyFill="1" applyBorder="1" applyAlignment="1">
      <alignment horizontal="left" vertical="center" wrapText="1"/>
    </xf>
    <xf numFmtId="0" fontId="3" fillId="22" borderId="2" xfId="1" applyFont="1" applyFill="1" applyBorder="1" applyAlignment="1">
      <alignment horizontal="left" vertical="center" wrapText="1"/>
    </xf>
    <xf numFmtId="0" fontId="3" fillId="23" borderId="2" xfId="1" applyFont="1" applyFill="1" applyBorder="1" applyAlignment="1">
      <alignment horizontal="left" vertical="center" wrapText="1"/>
    </xf>
    <xf numFmtId="0" fontId="3" fillId="13" borderId="2" xfId="1" applyFont="1" applyFill="1" applyBorder="1" applyAlignment="1">
      <alignment horizontal="left" vertical="center" wrapText="1"/>
    </xf>
    <xf numFmtId="0" fontId="3" fillId="19" borderId="2" xfId="1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left" vertical="center" wrapText="1"/>
    </xf>
    <xf numFmtId="0" fontId="3" fillId="20" borderId="2" xfId="1" applyFont="1" applyFill="1" applyBorder="1" applyAlignment="1">
      <alignment horizontal="left" vertical="center" wrapText="1"/>
    </xf>
    <xf numFmtId="0" fontId="3" fillId="21" borderId="2" xfId="1" applyFont="1" applyFill="1" applyBorder="1" applyAlignment="1">
      <alignment horizontal="left" vertical="center" wrapText="1"/>
    </xf>
    <xf numFmtId="0" fontId="3" fillId="25" borderId="2" xfId="1" applyFont="1" applyFill="1" applyBorder="1" applyAlignment="1">
      <alignment horizontal="left" vertical="center" wrapText="1"/>
    </xf>
    <xf numFmtId="0" fontId="3" fillId="24" borderId="2" xfId="1" applyFont="1" applyFill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2" fillId="27" borderId="0" xfId="1" applyFont="1" applyFill="1" applyAlignment="1">
      <alignment horizontal="center" vertical="center" wrapText="1"/>
    </xf>
    <xf numFmtId="0" fontId="3" fillId="28" borderId="1" xfId="1" applyFont="1" applyFill="1" applyBorder="1" applyAlignment="1">
      <alignment horizontal="center" vertical="center" wrapText="1"/>
    </xf>
    <xf numFmtId="0" fontId="3" fillId="28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89ABB83E-E85A-4EA5-BDDE-0FA742B7970A}"/>
  </cellStyles>
  <dxfs count="2"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897E22-CB47-40D3-85E1-53CCC2FE50EC}" name="Tabla2" displayName="Tabla2" ref="A1:E59" totalsRowShown="0">
  <autoFilter ref="A1:E59" xr:uid="{2C897E22-CB47-40D3-85E1-53CCC2FE50EC}"/>
  <tableColumns count="5">
    <tableColumn id="1" xr3:uid="{623CBFEB-F1F3-4338-A4DE-DFE79A45BBE8}" name="Año"/>
    <tableColumn id="2" xr3:uid="{C1FAA824-E2F6-47E2-969E-E23876037963}" name="Especialidad"/>
    <tableColumn id="3" xr3:uid="{E16FAE43-F4D3-4AA2-9E6F-86E3E5BD5B91}" name="Ingresos" dataDxfId="1"/>
    <tableColumn id="4" xr3:uid="{83D65C8E-CDE6-4FC7-B3CD-1BCF7BC5EDAF}" name="Carga Procesal" dataDxfId="0"/>
    <tableColumn id="5" xr3:uid="{EB5F62D9-CBF2-40E7-A7A8-3CAEEF4DC332}" name="Resuelto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8C66-9159-405A-B6C5-B8F89BD45057}">
  <sheetPr>
    <tabColor theme="8"/>
  </sheetPr>
  <dimension ref="A1:E59"/>
  <sheetViews>
    <sheetView workbookViewId="0">
      <selection activeCell="C10" sqref="C10"/>
    </sheetView>
  </sheetViews>
  <sheetFormatPr baseColWidth="10" defaultRowHeight="14.4" x14ac:dyDescent="0.3"/>
  <cols>
    <col min="1" max="1" width="8.5546875" bestFit="1" customWidth="1"/>
    <col min="2" max="2" width="14" customWidth="1"/>
    <col min="4" max="4" width="15.88671875" customWidth="1"/>
    <col min="5" max="5" width="11.77734375" customWidth="1"/>
  </cols>
  <sheetData>
    <row r="1" spans="1:5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3">
      <c r="A2">
        <v>2017</v>
      </c>
      <c r="B2" t="s">
        <v>28</v>
      </c>
      <c r="C2" s="1">
        <v>14257</v>
      </c>
      <c r="D2" s="1">
        <v>9441</v>
      </c>
      <c r="E2">
        <v>102</v>
      </c>
    </row>
    <row r="3" spans="1:5" x14ac:dyDescent="0.3">
      <c r="A3">
        <v>2017</v>
      </c>
      <c r="B3" t="s">
        <v>29</v>
      </c>
      <c r="C3" s="1">
        <v>26130</v>
      </c>
      <c r="D3" s="1">
        <v>10928</v>
      </c>
      <c r="E3">
        <v>391</v>
      </c>
    </row>
    <row r="4" spans="1:5" x14ac:dyDescent="0.3">
      <c r="A4">
        <v>2017</v>
      </c>
      <c r="B4" t="s">
        <v>30</v>
      </c>
      <c r="C4" s="1">
        <v>13863</v>
      </c>
      <c r="D4" s="1">
        <v>6032</v>
      </c>
      <c r="E4">
        <v>575</v>
      </c>
    </row>
    <row r="5" spans="1:5" x14ac:dyDescent="0.3">
      <c r="A5">
        <v>2017</v>
      </c>
      <c r="B5" t="s">
        <v>31</v>
      </c>
      <c r="C5" s="1">
        <v>23813</v>
      </c>
      <c r="D5" s="1">
        <v>3845</v>
      </c>
      <c r="E5" s="1">
        <v>2809</v>
      </c>
    </row>
    <row r="6" spans="1:5" x14ac:dyDescent="0.3">
      <c r="A6">
        <v>2018</v>
      </c>
      <c r="B6" t="s">
        <v>28</v>
      </c>
      <c r="C6" s="1">
        <v>9877</v>
      </c>
      <c r="D6" s="1">
        <v>7146</v>
      </c>
      <c r="E6">
        <v>565</v>
      </c>
    </row>
    <row r="7" spans="1:5" x14ac:dyDescent="0.3">
      <c r="A7">
        <v>2018</v>
      </c>
      <c r="B7" t="s">
        <v>32</v>
      </c>
      <c r="C7">
        <v>0</v>
      </c>
      <c r="D7">
        <v>0</v>
      </c>
      <c r="E7">
        <v>0</v>
      </c>
    </row>
    <row r="8" spans="1:5" x14ac:dyDescent="0.3">
      <c r="A8">
        <v>2018</v>
      </c>
      <c r="B8" t="s">
        <v>33</v>
      </c>
      <c r="C8">
        <v>0</v>
      </c>
      <c r="D8">
        <v>0</v>
      </c>
      <c r="E8">
        <v>0</v>
      </c>
    </row>
    <row r="9" spans="1:5" x14ac:dyDescent="0.3">
      <c r="A9">
        <v>2018</v>
      </c>
      <c r="B9" t="s">
        <v>29</v>
      </c>
      <c r="C9" s="1">
        <v>21971</v>
      </c>
      <c r="D9" s="1">
        <v>7984</v>
      </c>
      <c r="E9">
        <v>762</v>
      </c>
    </row>
    <row r="10" spans="1:5" x14ac:dyDescent="0.3">
      <c r="A10">
        <v>2018</v>
      </c>
      <c r="B10" t="s">
        <v>30</v>
      </c>
      <c r="C10" s="1">
        <v>13879</v>
      </c>
      <c r="D10" s="1">
        <v>6161</v>
      </c>
      <c r="E10" s="1">
        <v>1510</v>
      </c>
    </row>
    <row r="11" spans="1:5" x14ac:dyDescent="0.3">
      <c r="A11">
        <v>2018</v>
      </c>
      <c r="B11" t="s">
        <v>31</v>
      </c>
      <c r="C11" s="1">
        <v>16239</v>
      </c>
      <c r="D11" s="1">
        <v>3665</v>
      </c>
      <c r="E11" s="1">
        <v>1441</v>
      </c>
    </row>
    <row r="12" spans="1:5" x14ac:dyDescent="0.3">
      <c r="A12">
        <v>2019</v>
      </c>
      <c r="B12" t="s">
        <v>28</v>
      </c>
      <c r="C12" s="1">
        <v>9160</v>
      </c>
      <c r="D12" s="1">
        <v>6843</v>
      </c>
      <c r="E12">
        <v>369</v>
      </c>
    </row>
    <row r="13" spans="1:5" x14ac:dyDescent="0.3">
      <c r="A13">
        <v>2019</v>
      </c>
      <c r="B13" t="s">
        <v>32</v>
      </c>
      <c r="C13">
        <v>0</v>
      </c>
      <c r="D13">
        <v>0</v>
      </c>
      <c r="E13">
        <v>0</v>
      </c>
    </row>
    <row r="14" spans="1:5" x14ac:dyDescent="0.3">
      <c r="A14">
        <v>2019</v>
      </c>
      <c r="B14" t="s">
        <v>33</v>
      </c>
      <c r="C14">
        <v>1</v>
      </c>
      <c r="D14">
        <v>0</v>
      </c>
      <c r="E14">
        <v>0</v>
      </c>
    </row>
    <row r="15" spans="1:5" x14ac:dyDescent="0.3">
      <c r="A15">
        <v>2019</v>
      </c>
      <c r="B15" t="s">
        <v>29</v>
      </c>
      <c r="C15" s="1">
        <v>23892</v>
      </c>
      <c r="D15" s="1">
        <v>6577</v>
      </c>
      <c r="E15">
        <v>205</v>
      </c>
    </row>
    <row r="16" spans="1:5" x14ac:dyDescent="0.3">
      <c r="A16">
        <v>2019</v>
      </c>
      <c r="B16" t="s">
        <v>30</v>
      </c>
      <c r="C16" s="1">
        <v>12931</v>
      </c>
      <c r="D16" s="1">
        <v>6463</v>
      </c>
      <c r="E16" s="1">
        <v>1738</v>
      </c>
    </row>
    <row r="17" spans="1:5" x14ac:dyDescent="0.3">
      <c r="A17">
        <v>2019</v>
      </c>
      <c r="B17" t="s">
        <v>31</v>
      </c>
      <c r="C17" s="1">
        <v>19218</v>
      </c>
      <c r="D17" s="1">
        <v>3646</v>
      </c>
      <c r="E17" s="1">
        <v>1148</v>
      </c>
    </row>
    <row r="18" spans="1:5" x14ac:dyDescent="0.3">
      <c r="A18">
        <v>2020</v>
      </c>
      <c r="B18" t="s">
        <v>28</v>
      </c>
      <c r="C18" s="1">
        <v>4087</v>
      </c>
      <c r="D18" s="1">
        <v>6807</v>
      </c>
      <c r="E18">
        <v>170</v>
      </c>
    </row>
    <row r="19" spans="1:5" x14ac:dyDescent="0.3">
      <c r="A19">
        <v>2020</v>
      </c>
      <c r="B19" t="s">
        <v>32</v>
      </c>
      <c r="C19">
        <v>0</v>
      </c>
      <c r="D19">
        <v>0</v>
      </c>
      <c r="E19">
        <v>0</v>
      </c>
    </row>
    <row r="20" spans="1:5" x14ac:dyDescent="0.3">
      <c r="A20">
        <v>2020</v>
      </c>
      <c r="B20" t="s">
        <v>33</v>
      </c>
      <c r="C20">
        <v>3</v>
      </c>
      <c r="D20">
        <v>2</v>
      </c>
      <c r="E20">
        <v>0</v>
      </c>
    </row>
    <row r="21" spans="1:5" x14ac:dyDescent="0.3">
      <c r="A21">
        <v>2020</v>
      </c>
      <c r="B21" t="s">
        <v>29</v>
      </c>
      <c r="C21" s="1">
        <v>13959</v>
      </c>
      <c r="D21" s="1">
        <v>7115</v>
      </c>
      <c r="E21">
        <v>39</v>
      </c>
    </row>
    <row r="22" spans="1:5" x14ac:dyDescent="0.3">
      <c r="A22">
        <v>2020</v>
      </c>
      <c r="B22" t="s">
        <v>30</v>
      </c>
      <c r="C22" s="1">
        <v>6665</v>
      </c>
      <c r="D22" s="1">
        <v>6684</v>
      </c>
      <c r="E22" s="1">
        <v>2570</v>
      </c>
    </row>
    <row r="23" spans="1:5" x14ac:dyDescent="0.3">
      <c r="A23">
        <v>2020</v>
      </c>
      <c r="B23" t="s">
        <v>31</v>
      </c>
      <c r="C23" s="1">
        <v>9746</v>
      </c>
      <c r="D23" s="1">
        <v>4987</v>
      </c>
      <c r="E23">
        <v>746</v>
      </c>
    </row>
    <row r="24" spans="1:5" x14ac:dyDescent="0.3">
      <c r="A24">
        <v>2021</v>
      </c>
      <c r="B24" t="s">
        <v>28</v>
      </c>
      <c r="C24" s="1">
        <v>10265</v>
      </c>
      <c r="D24" s="1">
        <v>5495</v>
      </c>
      <c r="E24">
        <v>52</v>
      </c>
    </row>
    <row r="25" spans="1:5" x14ac:dyDescent="0.3">
      <c r="A25">
        <v>2021</v>
      </c>
      <c r="B25" t="s">
        <v>32</v>
      </c>
      <c r="C25">
        <v>0</v>
      </c>
      <c r="D25">
        <v>0</v>
      </c>
      <c r="E25">
        <v>0</v>
      </c>
    </row>
    <row r="26" spans="1:5" x14ac:dyDescent="0.3">
      <c r="A26">
        <v>2021</v>
      </c>
      <c r="B26" t="s">
        <v>33</v>
      </c>
      <c r="C26">
        <v>18</v>
      </c>
      <c r="D26">
        <v>5</v>
      </c>
      <c r="E26">
        <v>0</v>
      </c>
    </row>
    <row r="27" spans="1:5" x14ac:dyDescent="0.3">
      <c r="A27">
        <v>2021</v>
      </c>
      <c r="B27" t="s">
        <v>29</v>
      </c>
      <c r="C27" s="1">
        <v>20282</v>
      </c>
      <c r="D27" s="1">
        <v>6848</v>
      </c>
      <c r="E27">
        <v>295</v>
      </c>
    </row>
    <row r="28" spans="1:5" x14ac:dyDescent="0.3">
      <c r="A28">
        <v>2021</v>
      </c>
      <c r="B28" t="s">
        <v>30</v>
      </c>
      <c r="C28" s="1">
        <v>12302</v>
      </c>
      <c r="D28" s="1">
        <v>5182</v>
      </c>
      <c r="E28" s="1">
        <v>3440</v>
      </c>
    </row>
    <row r="29" spans="1:5" x14ac:dyDescent="0.3">
      <c r="A29">
        <v>2021</v>
      </c>
      <c r="B29" t="s">
        <v>31</v>
      </c>
      <c r="C29" s="1">
        <v>26483</v>
      </c>
      <c r="D29" s="1">
        <v>5680</v>
      </c>
      <c r="E29" s="1">
        <v>9232</v>
      </c>
    </row>
    <row r="30" spans="1:5" x14ac:dyDescent="0.3">
      <c r="A30">
        <v>2022</v>
      </c>
      <c r="B30" t="s">
        <v>28</v>
      </c>
      <c r="C30" s="1">
        <v>10529</v>
      </c>
      <c r="D30" s="1">
        <v>6858</v>
      </c>
      <c r="E30" s="1">
        <v>2484</v>
      </c>
    </row>
    <row r="31" spans="1:5" x14ac:dyDescent="0.3">
      <c r="A31">
        <v>2022</v>
      </c>
      <c r="B31" t="s">
        <v>32</v>
      </c>
      <c r="C31">
        <v>0</v>
      </c>
      <c r="D31">
        <v>0</v>
      </c>
      <c r="E31">
        <v>0</v>
      </c>
    </row>
    <row r="32" spans="1:5" x14ac:dyDescent="0.3">
      <c r="A32">
        <v>2022</v>
      </c>
      <c r="B32" t="s">
        <v>33</v>
      </c>
      <c r="C32">
        <v>64</v>
      </c>
      <c r="D32">
        <v>11</v>
      </c>
      <c r="E32">
        <v>2</v>
      </c>
    </row>
    <row r="33" spans="1:5" x14ac:dyDescent="0.3">
      <c r="A33">
        <v>2022</v>
      </c>
      <c r="B33" t="s">
        <v>29</v>
      </c>
      <c r="C33" s="1">
        <v>20203</v>
      </c>
      <c r="D33" s="1">
        <v>7387</v>
      </c>
      <c r="E33" s="1">
        <v>4126</v>
      </c>
    </row>
    <row r="34" spans="1:5" x14ac:dyDescent="0.3">
      <c r="A34">
        <v>2022</v>
      </c>
      <c r="B34" t="s">
        <v>30</v>
      </c>
      <c r="C34" s="1">
        <v>12326</v>
      </c>
      <c r="D34" s="1">
        <v>4081</v>
      </c>
      <c r="E34" s="1">
        <v>4865</v>
      </c>
    </row>
    <row r="35" spans="1:5" x14ac:dyDescent="0.3">
      <c r="A35">
        <v>2022</v>
      </c>
      <c r="B35" t="s">
        <v>31</v>
      </c>
      <c r="C35" s="1">
        <v>25402</v>
      </c>
      <c r="D35" s="1">
        <v>6348</v>
      </c>
      <c r="E35" s="1">
        <v>3143</v>
      </c>
    </row>
    <row r="36" spans="1:5" x14ac:dyDescent="0.3">
      <c r="A36">
        <v>2023</v>
      </c>
      <c r="B36" t="s">
        <v>28</v>
      </c>
      <c r="C36" s="1">
        <v>12224</v>
      </c>
      <c r="D36" s="1">
        <v>5974</v>
      </c>
      <c r="E36" s="1">
        <v>4488</v>
      </c>
    </row>
    <row r="37" spans="1:5" x14ac:dyDescent="0.3">
      <c r="A37">
        <v>2023</v>
      </c>
      <c r="B37" t="s">
        <v>32</v>
      </c>
      <c r="C37">
        <v>190</v>
      </c>
      <c r="D37">
        <v>0</v>
      </c>
      <c r="E37">
        <v>10</v>
      </c>
    </row>
    <row r="38" spans="1:5" x14ac:dyDescent="0.3">
      <c r="A38">
        <v>2023</v>
      </c>
      <c r="B38" t="s">
        <v>33</v>
      </c>
      <c r="C38">
        <v>41</v>
      </c>
      <c r="D38">
        <v>39</v>
      </c>
      <c r="E38">
        <v>15</v>
      </c>
    </row>
    <row r="39" spans="1:5" x14ac:dyDescent="0.3">
      <c r="A39">
        <v>2023</v>
      </c>
      <c r="B39" t="s">
        <v>29</v>
      </c>
      <c r="C39" s="1">
        <v>21877</v>
      </c>
      <c r="D39" s="1">
        <v>6688</v>
      </c>
      <c r="E39" s="1">
        <v>8292</v>
      </c>
    </row>
    <row r="40" spans="1:5" x14ac:dyDescent="0.3">
      <c r="A40">
        <v>2023</v>
      </c>
      <c r="B40" t="s">
        <v>30</v>
      </c>
      <c r="C40" s="1">
        <v>12599</v>
      </c>
      <c r="D40" s="1">
        <v>3189</v>
      </c>
      <c r="E40" s="1">
        <v>4086</v>
      </c>
    </row>
    <row r="41" spans="1:5" x14ac:dyDescent="0.3">
      <c r="A41">
        <v>2023</v>
      </c>
      <c r="B41" t="s">
        <v>31</v>
      </c>
      <c r="C41" s="1">
        <v>27499</v>
      </c>
      <c r="D41" s="1">
        <v>5858</v>
      </c>
      <c r="E41" s="1">
        <v>14845</v>
      </c>
    </row>
    <row r="42" spans="1:5" x14ac:dyDescent="0.3">
      <c r="A42">
        <v>2024</v>
      </c>
      <c r="B42" t="s">
        <v>28</v>
      </c>
      <c r="C42" s="1">
        <v>11916</v>
      </c>
      <c r="D42" s="1">
        <v>5594</v>
      </c>
      <c r="E42" s="1">
        <v>2498</v>
      </c>
    </row>
    <row r="43" spans="1:5" x14ac:dyDescent="0.3">
      <c r="A43">
        <v>2024</v>
      </c>
      <c r="B43" t="s">
        <v>32</v>
      </c>
      <c r="C43" s="1">
        <v>1056</v>
      </c>
      <c r="D43">
        <v>97</v>
      </c>
      <c r="E43">
        <v>10</v>
      </c>
    </row>
    <row r="44" spans="1:5" x14ac:dyDescent="0.3">
      <c r="A44">
        <v>2024</v>
      </c>
      <c r="B44" t="s">
        <v>33</v>
      </c>
      <c r="C44">
        <v>27</v>
      </c>
      <c r="D44">
        <v>27</v>
      </c>
      <c r="E44">
        <v>17</v>
      </c>
    </row>
    <row r="45" spans="1:5" x14ac:dyDescent="0.3">
      <c r="A45">
        <v>2024</v>
      </c>
      <c r="B45" t="s">
        <v>29</v>
      </c>
      <c r="C45" s="1">
        <v>20367</v>
      </c>
      <c r="D45" s="1">
        <v>6786</v>
      </c>
      <c r="E45" s="1">
        <v>6857</v>
      </c>
    </row>
    <row r="46" spans="1:5" x14ac:dyDescent="0.3">
      <c r="A46">
        <v>2024</v>
      </c>
      <c r="B46" t="s">
        <v>30</v>
      </c>
      <c r="C46" s="1">
        <v>13444</v>
      </c>
      <c r="D46" s="1">
        <v>3766</v>
      </c>
      <c r="E46" s="1">
        <v>1822</v>
      </c>
    </row>
    <row r="47" spans="1:5" x14ac:dyDescent="0.3">
      <c r="A47">
        <v>2024</v>
      </c>
      <c r="B47" t="s">
        <v>31</v>
      </c>
      <c r="C47" s="1">
        <v>24880</v>
      </c>
      <c r="D47" s="1">
        <v>6163</v>
      </c>
      <c r="E47" s="1">
        <v>15774</v>
      </c>
    </row>
    <row r="48" spans="1:5" x14ac:dyDescent="0.3">
      <c r="A48">
        <v>2025</v>
      </c>
      <c r="B48" t="s">
        <v>28</v>
      </c>
      <c r="C48" s="1">
        <v>11266</v>
      </c>
      <c r="D48" s="1">
        <v>5952</v>
      </c>
      <c r="E48" s="1">
        <v>4424</v>
      </c>
    </row>
    <row r="49" spans="1:5" x14ac:dyDescent="0.3">
      <c r="A49">
        <v>2025</v>
      </c>
      <c r="B49" t="s">
        <v>32</v>
      </c>
      <c r="C49" s="1">
        <v>1496</v>
      </c>
      <c r="D49">
        <v>200</v>
      </c>
      <c r="E49">
        <v>7</v>
      </c>
    </row>
    <row r="50" spans="1:5" x14ac:dyDescent="0.3">
      <c r="A50">
        <v>2025</v>
      </c>
      <c r="B50" t="s">
        <v>33</v>
      </c>
      <c r="C50">
        <v>80</v>
      </c>
      <c r="D50">
        <v>30</v>
      </c>
      <c r="E50">
        <v>10</v>
      </c>
    </row>
    <row r="51" spans="1:5" x14ac:dyDescent="0.3">
      <c r="A51">
        <v>2025</v>
      </c>
      <c r="B51" t="s">
        <v>29</v>
      </c>
      <c r="C51" s="1">
        <v>20061</v>
      </c>
      <c r="D51" s="1">
        <v>6815</v>
      </c>
      <c r="E51" s="1">
        <v>17860</v>
      </c>
    </row>
    <row r="52" spans="1:5" x14ac:dyDescent="0.3">
      <c r="A52">
        <v>2025</v>
      </c>
      <c r="B52" t="s">
        <v>30</v>
      </c>
      <c r="C52" s="1">
        <v>12321</v>
      </c>
      <c r="D52" s="1">
        <v>4183</v>
      </c>
      <c r="E52" s="1">
        <v>8217</v>
      </c>
    </row>
    <row r="53" spans="1:5" x14ac:dyDescent="0.3">
      <c r="A53">
        <v>2025</v>
      </c>
      <c r="B53" t="s">
        <v>31</v>
      </c>
      <c r="C53" s="1">
        <v>23495</v>
      </c>
      <c r="D53" s="1">
        <v>6882</v>
      </c>
      <c r="E53" s="1">
        <v>17641</v>
      </c>
    </row>
    <row r="54" spans="1:5" x14ac:dyDescent="0.3">
      <c r="A54">
        <v>2026</v>
      </c>
      <c r="B54" t="s">
        <v>28</v>
      </c>
      <c r="C54" s="1">
        <v>2609</v>
      </c>
      <c r="D54" s="1">
        <v>5891</v>
      </c>
      <c r="E54">
        <v>580</v>
      </c>
    </row>
    <row r="55" spans="1:5" x14ac:dyDescent="0.3">
      <c r="A55">
        <v>2026</v>
      </c>
      <c r="B55" t="s">
        <v>32</v>
      </c>
      <c r="C55">
        <v>281</v>
      </c>
      <c r="D55">
        <v>274</v>
      </c>
      <c r="E55">
        <v>20</v>
      </c>
    </row>
    <row r="56" spans="1:5" x14ac:dyDescent="0.3">
      <c r="A56">
        <v>2026</v>
      </c>
      <c r="B56" t="s">
        <v>33</v>
      </c>
      <c r="C56">
        <v>9</v>
      </c>
      <c r="D56">
        <v>36</v>
      </c>
      <c r="E56">
        <v>4</v>
      </c>
    </row>
    <row r="57" spans="1:5" x14ac:dyDescent="0.3">
      <c r="A57">
        <v>2026</v>
      </c>
      <c r="B57" t="s">
        <v>29</v>
      </c>
      <c r="C57" s="1">
        <v>5073</v>
      </c>
      <c r="D57" s="1">
        <v>5892</v>
      </c>
      <c r="E57" s="1">
        <v>4027</v>
      </c>
    </row>
    <row r="58" spans="1:5" x14ac:dyDescent="0.3">
      <c r="A58">
        <v>2026</v>
      </c>
      <c r="B58" t="s">
        <v>30</v>
      </c>
      <c r="C58" s="1">
        <v>2827</v>
      </c>
      <c r="D58" s="1">
        <v>3569</v>
      </c>
      <c r="E58">
        <v>401</v>
      </c>
    </row>
    <row r="59" spans="1:5" x14ac:dyDescent="0.3">
      <c r="A59">
        <v>2026</v>
      </c>
      <c r="B59" t="s">
        <v>31</v>
      </c>
      <c r="C59" s="1">
        <v>5013</v>
      </c>
      <c r="D59" s="1">
        <v>7888</v>
      </c>
      <c r="E59" s="1">
        <v>3260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B176-F4C3-4E01-9DDE-28AE236597EE}">
  <sheetPr>
    <tabColor theme="9" tint="0.59999389629810485"/>
  </sheetPr>
  <dimension ref="A1:I74"/>
  <sheetViews>
    <sheetView zoomScaleNormal="100" workbookViewId="0">
      <selection activeCell="M29" sqref="M29"/>
    </sheetView>
  </sheetViews>
  <sheetFormatPr baseColWidth="10" defaultColWidth="8.6640625" defaultRowHeight="14.4" x14ac:dyDescent="0.3"/>
  <cols>
    <col min="1" max="1" width="20" style="2" customWidth="1"/>
    <col min="2" max="2" width="8" style="2" customWidth="1"/>
    <col min="3" max="3" width="14" style="2" customWidth="1"/>
    <col min="4" max="6" width="12" style="2" customWidth="1"/>
    <col min="7" max="8" width="14" style="2" customWidth="1"/>
    <col min="9" max="9" width="18" style="2" customWidth="1"/>
    <col min="10" max="16384" width="8.6640625" style="2"/>
  </cols>
  <sheetData>
    <row r="1" spans="1:9" ht="21.75" customHeight="1" x14ac:dyDescent="0.3">
      <c r="A1" s="74" t="s">
        <v>34</v>
      </c>
      <c r="B1" s="74"/>
      <c r="C1" s="74"/>
      <c r="D1" s="74"/>
      <c r="E1" s="74"/>
      <c r="F1" s="74"/>
      <c r="G1" s="74"/>
      <c r="H1" s="74"/>
      <c r="I1" s="74"/>
    </row>
    <row r="2" spans="1:9" ht="26.4" x14ac:dyDescent="0.3">
      <c r="A2" s="3" t="s">
        <v>0</v>
      </c>
      <c r="B2" s="3" t="s">
        <v>1</v>
      </c>
      <c r="C2" s="3" t="s">
        <v>35</v>
      </c>
      <c r="D2" s="3" t="s">
        <v>36</v>
      </c>
      <c r="E2" s="3" t="s">
        <v>37</v>
      </c>
      <c r="F2" s="3" t="s">
        <v>38</v>
      </c>
      <c r="G2" s="3" t="s">
        <v>39</v>
      </c>
      <c r="H2" s="3" t="s">
        <v>40</v>
      </c>
      <c r="I2" s="3" t="s">
        <v>41</v>
      </c>
    </row>
    <row r="3" spans="1:9" x14ac:dyDescent="0.3">
      <c r="A3" s="4" t="s">
        <v>42</v>
      </c>
      <c r="B3" s="5">
        <v>2007</v>
      </c>
      <c r="C3" s="5" t="s">
        <v>43</v>
      </c>
      <c r="D3" s="6">
        <v>417661</v>
      </c>
      <c r="E3" s="6">
        <v>444992</v>
      </c>
      <c r="F3" s="6">
        <v>862653</v>
      </c>
      <c r="G3" s="7">
        <f t="shared" ref="G3:G66" si="0">IF(F3&gt;0,D3/F3,"")</f>
        <v>0.48415875212860793</v>
      </c>
      <c r="H3" s="7">
        <f t="shared" ref="H3:H66" si="1">IF(F3&gt;0,E3/F3,"")</f>
        <v>0.51584124787139207</v>
      </c>
      <c r="I3" s="8">
        <v>2E-3</v>
      </c>
    </row>
    <row r="4" spans="1:9" x14ac:dyDescent="0.3">
      <c r="A4" s="4" t="s">
        <v>42</v>
      </c>
      <c r="B4" s="5">
        <v>2017</v>
      </c>
      <c r="C4" s="5" t="s">
        <v>43</v>
      </c>
      <c r="D4" s="6">
        <v>426024</v>
      </c>
      <c r="E4" s="6">
        <v>464540</v>
      </c>
      <c r="F4" s="6">
        <v>890564</v>
      </c>
      <c r="G4" s="7">
        <f t="shared" si="0"/>
        <v>0.4783755013676726</v>
      </c>
      <c r="H4" s="7">
        <f t="shared" si="1"/>
        <v>0.5216244986323274</v>
      </c>
      <c r="I4" s="8">
        <v>2E-3</v>
      </c>
    </row>
    <row r="5" spans="1:9" x14ac:dyDescent="0.3">
      <c r="A5" s="4" t="s">
        <v>42</v>
      </c>
      <c r="B5" s="5">
        <v>2026</v>
      </c>
      <c r="C5" s="5" t="s">
        <v>44</v>
      </c>
      <c r="D5" s="9">
        <v>432453</v>
      </c>
      <c r="E5" s="9">
        <v>471549</v>
      </c>
      <c r="F5" s="9">
        <v>904002</v>
      </c>
      <c r="G5" s="7">
        <f t="shared" si="0"/>
        <v>0.47837615403505745</v>
      </c>
      <c r="H5" s="7">
        <f t="shared" si="1"/>
        <v>0.5216238459649426</v>
      </c>
      <c r="I5" s="8">
        <v>2E-3</v>
      </c>
    </row>
    <row r="6" spans="1:9" x14ac:dyDescent="0.3">
      <c r="A6" s="4" t="s">
        <v>42</v>
      </c>
      <c r="B6" s="5">
        <v>2027</v>
      </c>
      <c r="C6" s="5" t="s">
        <v>44</v>
      </c>
      <c r="D6" s="9">
        <v>433174</v>
      </c>
      <c r="E6" s="9">
        <v>472334</v>
      </c>
      <c r="F6" s="9">
        <v>905508</v>
      </c>
      <c r="G6" s="7">
        <f t="shared" si="0"/>
        <v>0.47837677855965932</v>
      </c>
      <c r="H6" s="7">
        <f t="shared" si="1"/>
        <v>0.52162322144034068</v>
      </c>
      <c r="I6" s="8">
        <v>2E-3</v>
      </c>
    </row>
    <row r="7" spans="1:9" x14ac:dyDescent="0.3">
      <c r="A7" s="4" t="s">
        <v>42</v>
      </c>
      <c r="B7" s="5">
        <v>2028</v>
      </c>
      <c r="C7" s="5" t="s">
        <v>44</v>
      </c>
      <c r="D7" s="9">
        <v>433896</v>
      </c>
      <c r="E7" s="9">
        <v>473121</v>
      </c>
      <c r="F7" s="9">
        <v>907017</v>
      </c>
      <c r="G7" s="7">
        <f t="shared" si="0"/>
        <v>0.47837692127049436</v>
      </c>
      <c r="H7" s="7">
        <f t="shared" si="1"/>
        <v>0.52162307872950564</v>
      </c>
      <c r="I7" s="8">
        <v>2E-3</v>
      </c>
    </row>
    <row r="8" spans="1:9" x14ac:dyDescent="0.3">
      <c r="A8" s="4" t="s">
        <v>42</v>
      </c>
      <c r="B8" s="5">
        <v>2029</v>
      </c>
      <c r="C8" s="5" t="s">
        <v>44</v>
      </c>
      <c r="D8" s="9">
        <v>434619</v>
      </c>
      <c r="E8" s="9">
        <v>473909</v>
      </c>
      <c r="F8" s="9">
        <v>908528</v>
      </c>
      <c r="G8" s="7">
        <f t="shared" si="0"/>
        <v>0.47837711110719755</v>
      </c>
      <c r="H8" s="7">
        <f t="shared" si="1"/>
        <v>0.52162288889280239</v>
      </c>
      <c r="I8" s="8">
        <v>2E-3</v>
      </c>
    </row>
    <row r="9" spans="1:9" x14ac:dyDescent="0.3">
      <c r="A9" s="4" t="s">
        <v>42</v>
      </c>
      <c r="B9" s="5">
        <v>2030</v>
      </c>
      <c r="C9" s="5" t="s">
        <v>44</v>
      </c>
      <c r="D9" s="9">
        <v>435342</v>
      </c>
      <c r="E9" s="9">
        <v>474700</v>
      </c>
      <c r="F9" s="9">
        <v>910042</v>
      </c>
      <c r="G9" s="7">
        <f t="shared" si="0"/>
        <v>0.47837572331826445</v>
      </c>
      <c r="H9" s="7">
        <f t="shared" si="1"/>
        <v>0.52162427668173561</v>
      </c>
      <c r="I9" s="8">
        <v>2E-3</v>
      </c>
    </row>
    <row r="10" spans="1:9" x14ac:dyDescent="0.3">
      <c r="A10" s="4" t="s">
        <v>42</v>
      </c>
      <c r="B10" s="5">
        <v>2031</v>
      </c>
      <c r="C10" s="5" t="s">
        <v>44</v>
      </c>
      <c r="D10" s="9">
        <v>436068</v>
      </c>
      <c r="E10" s="9">
        <v>475491</v>
      </c>
      <c r="F10" s="9">
        <v>911559</v>
      </c>
      <c r="G10" s="7">
        <f t="shared" si="0"/>
        <v>0.47837605684327617</v>
      </c>
      <c r="H10" s="7">
        <f t="shared" si="1"/>
        <v>0.52162394315672378</v>
      </c>
      <c r="I10" s="8">
        <v>2E-3</v>
      </c>
    </row>
    <row r="11" spans="1:9" x14ac:dyDescent="0.3">
      <c r="A11" s="10" t="s">
        <v>5</v>
      </c>
      <c r="B11" s="5">
        <v>2007</v>
      </c>
      <c r="C11" s="5" t="s">
        <v>43</v>
      </c>
      <c r="D11" s="6">
        <v>222808</v>
      </c>
      <c r="E11" s="6">
        <v>243538</v>
      </c>
      <c r="F11" s="6">
        <v>466346</v>
      </c>
      <c r="G11" s="7">
        <f t="shared" si="0"/>
        <v>0.47777401328627245</v>
      </c>
      <c r="H11" s="7">
        <f t="shared" si="1"/>
        <v>0.52222598671372755</v>
      </c>
      <c r="I11" s="8">
        <v>2E-3</v>
      </c>
    </row>
    <row r="12" spans="1:9" x14ac:dyDescent="0.3">
      <c r="A12" s="10" t="s">
        <v>5</v>
      </c>
      <c r="B12" s="5">
        <v>2017</v>
      </c>
      <c r="C12" s="5" t="s">
        <v>43</v>
      </c>
      <c r="D12" s="6">
        <v>257473</v>
      </c>
      <c r="E12" s="6">
        <v>288142</v>
      </c>
      <c r="F12" s="6">
        <v>545615</v>
      </c>
      <c r="G12" s="7">
        <f t="shared" si="0"/>
        <v>0.47189501754900431</v>
      </c>
      <c r="H12" s="7">
        <f t="shared" si="1"/>
        <v>0.52810498245099569</v>
      </c>
      <c r="I12" s="8">
        <v>2E-3</v>
      </c>
    </row>
    <row r="13" spans="1:9" x14ac:dyDescent="0.3">
      <c r="A13" s="10" t="s">
        <v>5</v>
      </c>
      <c r="B13" s="5">
        <v>2026</v>
      </c>
      <c r="C13" s="5" t="s">
        <v>44</v>
      </c>
      <c r="D13" s="9">
        <v>261358</v>
      </c>
      <c r="E13" s="9">
        <v>292490</v>
      </c>
      <c r="F13" s="9">
        <v>553848</v>
      </c>
      <c r="G13" s="7">
        <f t="shared" si="0"/>
        <v>0.47189481590616922</v>
      </c>
      <c r="H13" s="7">
        <f t="shared" si="1"/>
        <v>0.52810518409383078</v>
      </c>
      <c r="I13" s="8">
        <v>2E-3</v>
      </c>
    </row>
    <row r="14" spans="1:9" x14ac:dyDescent="0.3">
      <c r="A14" s="10" t="s">
        <v>5</v>
      </c>
      <c r="B14" s="5">
        <v>2027</v>
      </c>
      <c r="C14" s="5" t="s">
        <v>44</v>
      </c>
      <c r="D14" s="9">
        <v>261793</v>
      </c>
      <c r="E14" s="9">
        <v>292977</v>
      </c>
      <c r="F14" s="9">
        <v>554770</v>
      </c>
      <c r="G14" s="7">
        <f t="shared" si="0"/>
        <v>0.47189465904789374</v>
      </c>
      <c r="H14" s="7">
        <f t="shared" si="1"/>
        <v>0.52810534095210626</v>
      </c>
      <c r="I14" s="8">
        <v>2E-3</v>
      </c>
    </row>
    <row r="15" spans="1:9" x14ac:dyDescent="0.3">
      <c r="A15" s="10" t="s">
        <v>5</v>
      </c>
      <c r="B15" s="5">
        <v>2028</v>
      </c>
      <c r="C15" s="5" t="s">
        <v>44</v>
      </c>
      <c r="D15" s="9">
        <v>262229</v>
      </c>
      <c r="E15" s="9">
        <v>293465</v>
      </c>
      <c r="F15" s="9">
        <v>555694</v>
      </c>
      <c r="G15" s="7">
        <f t="shared" si="0"/>
        <v>0.47189460386471693</v>
      </c>
      <c r="H15" s="7">
        <f t="shared" si="1"/>
        <v>0.52810539613528307</v>
      </c>
      <c r="I15" s="8">
        <v>2E-3</v>
      </c>
    </row>
    <row r="16" spans="1:9" x14ac:dyDescent="0.3">
      <c r="A16" s="10" t="s">
        <v>5</v>
      </c>
      <c r="B16" s="5">
        <v>2029</v>
      </c>
      <c r="C16" s="5" t="s">
        <v>44</v>
      </c>
      <c r="D16" s="9">
        <v>262666</v>
      </c>
      <c r="E16" s="9">
        <v>293954</v>
      </c>
      <c r="F16" s="9">
        <v>556620</v>
      </c>
      <c r="G16" s="7">
        <f t="shared" si="0"/>
        <v>0.47189464985088569</v>
      </c>
      <c r="H16" s="7">
        <f t="shared" si="1"/>
        <v>0.52810535014911431</v>
      </c>
      <c r="I16" s="8">
        <v>2E-3</v>
      </c>
    </row>
    <row r="17" spans="1:9" x14ac:dyDescent="0.3">
      <c r="A17" s="10" t="s">
        <v>5</v>
      </c>
      <c r="B17" s="5">
        <v>2030</v>
      </c>
      <c r="C17" s="5" t="s">
        <v>44</v>
      </c>
      <c r="D17" s="9">
        <v>263103</v>
      </c>
      <c r="E17" s="9">
        <v>294444</v>
      </c>
      <c r="F17" s="9">
        <v>557547</v>
      </c>
      <c r="G17" s="7">
        <f t="shared" si="0"/>
        <v>0.47189384930777134</v>
      </c>
      <c r="H17" s="7">
        <f t="shared" si="1"/>
        <v>0.52810615069222866</v>
      </c>
      <c r="I17" s="8">
        <v>2E-3</v>
      </c>
    </row>
    <row r="18" spans="1:9" x14ac:dyDescent="0.3">
      <c r="A18" s="10" t="s">
        <v>5</v>
      </c>
      <c r="B18" s="5">
        <v>2031</v>
      </c>
      <c r="C18" s="5" t="s">
        <v>44</v>
      </c>
      <c r="D18" s="9">
        <v>263541</v>
      </c>
      <c r="E18" s="9">
        <v>294934</v>
      </c>
      <c r="F18" s="9">
        <v>558475</v>
      </c>
      <c r="G18" s="7">
        <f t="shared" si="0"/>
        <v>0.47189399704552576</v>
      </c>
      <c r="H18" s="7">
        <f t="shared" si="1"/>
        <v>0.52810600295447419</v>
      </c>
      <c r="I18" s="8">
        <v>2E-3</v>
      </c>
    </row>
    <row r="19" spans="1:9" x14ac:dyDescent="0.3">
      <c r="A19" s="11" t="s">
        <v>45</v>
      </c>
      <c r="B19" s="5">
        <v>2007</v>
      </c>
      <c r="C19" s="5" t="s">
        <v>43</v>
      </c>
      <c r="D19" s="6">
        <v>29280</v>
      </c>
      <c r="E19" s="6">
        <v>30841</v>
      </c>
      <c r="F19" s="6">
        <v>60121</v>
      </c>
      <c r="G19" s="7">
        <f t="shared" si="0"/>
        <v>0.48701784734119524</v>
      </c>
      <c r="H19" s="7">
        <f t="shared" si="1"/>
        <v>0.51298215265880476</v>
      </c>
      <c r="I19" s="8">
        <v>2E-3</v>
      </c>
    </row>
    <row r="20" spans="1:9" x14ac:dyDescent="0.3">
      <c r="A20" s="11" t="s">
        <v>45</v>
      </c>
      <c r="B20" s="5">
        <v>2017</v>
      </c>
      <c r="C20" s="5" t="s">
        <v>43</v>
      </c>
      <c r="D20" s="6">
        <v>26423</v>
      </c>
      <c r="E20" s="6">
        <v>29168</v>
      </c>
      <c r="F20" s="6">
        <v>55591</v>
      </c>
      <c r="G20" s="7">
        <f t="shared" si="0"/>
        <v>0.47531075174038961</v>
      </c>
      <c r="H20" s="7">
        <f t="shared" si="1"/>
        <v>0.52468924825961039</v>
      </c>
      <c r="I20" s="8">
        <v>2E-3</v>
      </c>
    </row>
    <row r="21" spans="1:9" x14ac:dyDescent="0.3">
      <c r="A21" s="11" t="s">
        <v>45</v>
      </c>
      <c r="B21" s="5">
        <v>2026</v>
      </c>
      <c r="C21" s="5" t="s">
        <v>44</v>
      </c>
      <c r="D21" s="9">
        <v>26822</v>
      </c>
      <c r="E21" s="9">
        <v>29608</v>
      </c>
      <c r="F21" s="9">
        <v>56430</v>
      </c>
      <c r="G21" s="7">
        <f t="shared" si="0"/>
        <v>0.47531454899875952</v>
      </c>
      <c r="H21" s="7">
        <f t="shared" si="1"/>
        <v>0.52468545100124042</v>
      </c>
      <c r="I21" s="8">
        <v>2E-3</v>
      </c>
    </row>
    <row r="22" spans="1:9" x14ac:dyDescent="0.3">
      <c r="A22" s="11" t="s">
        <v>45</v>
      </c>
      <c r="B22" s="5">
        <v>2027</v>
      </c>
      <c r="C22" s="5" t="s">
        <v>44</v>
      </c>
      <c r="D22" s="9">
        <v>26867</v>
      </c>
      <c r="E22" s="9">
        <v>29657</v>
      </c>
      <c r="F22" s="9">
        <v>56524</v>
      </c>
      <c r="G22" s="7">
        <f t="shared" si="0"/>
        <v>0.47532021796051233</v>
      </c>
      <c r="H22" s="7">
        <f t="shared" si="1"/>
        <v>0.52467978203948762</v>
      </c>
      <c r="I22" s="8">
        <v>2E-3</v>
      </c>
    </row>
    <row r="23" spans="1:9" x14ac:dyDescent="0.3">
      <c r="A23" s="11" t="s">
        <v>45</v>
      </c>
      <c r="B23" s="5">
        <v>2028</v>
      </c>
      <c r="C23" s="5" t="s">
        <v>44</v>
      </c>
      <c r="D23" s="9">
        <v>26912</v>
      </c>
      <c r="E23" s="9">
        <v>29706</v>
      </c>
      <c r="F23" s="9">
        <v>56618</v>
      </c>
      <c r="G23" s="7">
        <f t="shared" si="0"/>
        <v>0.47532586809848459</v>
      </c>
      <c r="H23" s="7">
        <f t="shared" si="1"/>
        <v>0.52467413190151546</v>
      </c>
      <c r="I23" s="8">
        <v>2E-3</v>
      </c>
    </row>
    <row r="24" spans="1:9" x14ac:dyDescent="0.3">
      <c r="A24" s="11" t="s">
        <v>45</v>
      </c>
      <c r="B24" s="5">
        <v>2029</v>
      </c>
      <c r="C24" s="5" t="s">
        <v>44</v>
      </c>
      <c r="D24" s="9">
        <v>26957</v>
      </c>
      <c r="E24" s="9">
        <v>29755</v>
      </c>
      <c r="F24" s="9">
        <v>56712</v>
      </c>
      <c r="G24" s="7">
        <f t="shared" si="0"/>
        <v>0.47533149950627734</v>
      </c>
      <c r="H24" s="7">
        <f t="shared" si="1"/>
        <v>0.52466850049372271</v>
      </c>
      <c r="I24" s="8">
        <v>2E-3</v>
      </c>
    </row>
    <row r="25" spans="1:9" x14ac:dyDescent="0.3">
      <c r="A25" s="11" t="s">
        <v>45</v>
      </c>
      <c r="B25" s="5">
        <v>2030</v>
      </c>
      <c r="C25" s="5" t="s">
        <v>44</v>
      </c>
      <c r="D25" s="9">
        <v>27002</v>
      </c>
      <c r="E25" s="9">
        <v>29805</v>
      </c>
      <c r="F25" s="9">
        <v>56807</v>
      </c>
      <c r="G25" s="7">
        <f t="shared" si="0"/>
        <v>0.47532874469695635</v>
      </c>
      <c r="H25" s="7">
        <f t="shared" si="1"/>
        <v>0.52467125530304359</v>
      </c>
      <c r="I25" s="8">
        <v>2E-3</v>
      </c>
    </row>
    <row r="26" spans="1:9" x14ac:dyDescent="0.3">
      <c r="A26" s="11" t="s">
        <v>45</v>
      </c>
      <c r="B26" s="5">
        <v>2031</v>
      </c>
      <c r="C26" s="5" t="s">
        <v>44</v>
      </c>
      <c r="D26" s="9">
        <v>27047</v>
      </c>
      <c r="E26" s="9">
        <v>29855</v>
      </c>
      <c r="F26" s="9">
        <v>56902</v>
      </c>
      <c r="G26" s="7">
        <f t="shared" si="0"/>
        <v>0.47532599908614809</v>
      </c>
      <c r="H26" s="7">
        <f t="shared" si="1"/>
        <v>0.52467400091385186</v>
      </c>
      <c r="I26" s="8">
        <v>2E-3</v>
      </c>
    </row>
    <row r="27" spans="1:9" x14ac:dyDescent="0.3">
      <c r="A27" s="12" t="s">
        <v>19</v>
      </c>
      <c r="B27" s="5">
        <v>2007</v>
      </c>
      <c r="C27" s="5" t="s">
        <v>43</v>
      </c>
      <c r="D27" s="6">
        <v>44311</v>
      </c>
      <c r="E27" s="6">
        <v>47742</v>
      </c>
      <c r="F27" s="6">
        <v>92053</v>
      </c>
      <c r="G27" s="7">
        <f t="shared" si="0"/>
        <v>0.48136399682791436</v>
      </c>
      <c r="H27" s="7">
        <f t="shared" si="1"/>
        <v>0.51863600317208569</v>
      </c>
      <c r="I27" s="8">
        <v>2E-3</v>
      </c>
    </row>
    <row r="28" spans="1:9" x14ac:dyDescent="0.3">
      <c r="A28" s="12" t="s">
        <v>19</v>
      </c>
      <c r="B28" s="5">
        <v>2017</v>
      </c>
      <c r="C28" s="5" t="s">
        <v>43</v>
      </c>
      <c r="D28" s="6">
        <v>39671</v>
      </c>
      <c r="E28" s="6">
        <v>43586</v>
      </c>
      <c r="F28" s="6">
        <v>83257</v>
      </c>
      <c r="G28" s="7">
        <f t="shared" si="0"/>
        <v>0.47648846343250417</v>
      </c>
      <c r="H28" s="7">
        <f t="shared" si="1"/>
        <v>0.52351153656749583</v>
      </c>
      <c r="I28" s="8">
        <v>2E-3</v>
      </c>
    </row>
    <row r="29" spans="1:9" x14ac:dyDescent="0.3">
      <c r="A29" s="12" t="s">
        <v>19</v>
      </c>
      <c r="B29" s="5">
        <v>2026</v>
      </c>
      <c r="C29" s="5" t="s">
        <v>44</v>
      </c>
      <c r="D29" s="9">
        <v>40270</v>
      </c>
      <c r="E29" s="9">
        <v>44244</v>
      </c>
      <c r="F29" s="9">
        <v>84514</v>
      </c>
      <c r="G29" s="7">
        <f t="shared" si="0"/>
        <v>0.47648910239723596</v>
      </c>
      <c r="H29" s="7">
        <f t="shared" si="1"/>
        <v>0.52351089760276404</v>
      </c>
      <c r="I29" s="8">
        <v>2E-3</v>
      </c>
    </row>
    <row r="30" spans="1:9" x14ac:dyDescent="0.3">
      <c r="A30" s="12" t="s">
        <v>19</v>
      </c>
      <c r="B30" s="5">
        <v>2027</v>
      </c>
      <c r="C30" s="5" t="s">
        <v>44</v>
      </c>
      <c r="D30" s="9">
        <v>40337</v>
      </c>
      <c r="E30" s="9">
        <v>44318</v>
      </c>
      <c r="F30" s="9">
        <v>84655</v>
      </c>
      <c r="G30" s="7">
        <f t="shared" si="0"/>
        <v>0.47648691748863031</v>
      </c>
      <c r="H30" s="7">
        <f t="shared" si="1"/>
        <v>0.52351308251136963</v>
      </c>
      <c r="I30" s="8">
        <v>2E-3</v>
      </c>
    </row>
    <row r="31" spans="1:9" x14ac:dyDescent="0.3">
      <c r="A31" s="12" t="s">
        <v>19</v>
      </c>
      <c r="B31" s="5">
        <v>2028</v>
      </c>
      <c r="C31" s="5" t="s">
        <v>44</v>
      </c>
      <c r="D31" s="9">
        <v>40404</v>
      </c>
      <c r="E31" s="9">
        <v>44392</v>
      </c>
      <c r="F31" s="9">
        <v>84796</v>
      </c>
      <c r="G31" s="7">
        <f t="shared" si="0"/>
        <v>0.47648473984621914</v>
      </c>
      <c r="H31" s="7">
        <f t="shared" si="1"/>
        <v>0.5235152601537808</v>
      </c>
      <c r="I31" s="8">
        <v>2E-3</v>
      </c>
    </row>
    <row r="32" spans="1:9" x14ac:dyDescent="0.3">
      <c r="A32" s="12" t="s">
        <v>19</v>
      </c>
      <c r="B32" s="5">
        <v>2029</v>
      </c>
      <c r="C32" s="5" t="s">
        <v>44</v>
      </c>
      <c r="D32" s="9">
        <v>40471</v>
      </c>
      <c r="E32" s="9">
        <v>44466</v>
      </c>
      <c r="F32" s="9">
        <v>84937</v>
      </c>
      <c r="G32" s="7">
        <f t="shared" si="0"/>
        <v>0.47648256943381567</v>
      </c>
      <c r="H32" s="7">
        <f t="shared" si="1"/>
        <v>0.52351743056618438</v>
      </c>
      <c r="I32" s="8">
        <v>2E-3</v>
      </c>
    </row>
    <row r="33" spans="1:9" x14ac:dyDescent="0.3">
      <c r="A33" s="12" t="s">
        <v>19</v>
      </c>
      <c r="B33" s="5">
        <v>2030</v>
      </c>
      <c r="C33" s="5" t="s">
        <v>44</v>
      </c>
      <c r="D33" s="9">
        <v>40538</v>
      </c>
      <c r="E33" s="9">
        <v>44540</v>
      </c>
      <c r="F33" s="9">
        <v>85078</v>
      </c>
      <c r="G33" s="7">
        <f t="shared" si="0"/>
        <v>0.47648040621547288</v>
      </c>
      <c r="H33" s="7">
        <f t="shared" si="1"/>
        <v>0.52351959378452717</v>
      </c>
      <c r="I33" s="8">
        <v>2E-3</v>
      </c>
    </row>
    <row r="34" spans="1:9" x14ac:dyDescent="0.3">
      <c r="A34" s="12" t="s">
        <v>19</v>
      </c>
      <c r="B34" s="5">
        <v>2031</v>
      </c>
      <c r="C34" s="5" t="s">
        <v>44</v>
      </c>
      <c r="D34" s="9">
        <v>40606</v>
      </c>
      <c r="E34" s="9">
        <v>44614</v>
      </c>
      <c r="F34" s="9">
        <v>85220</v>
      </c>
      <c r="G34" s="7">
        <f t="shared" si="0"/>
        <v>0.47648439333489789</v>
      </c>
      <c r="H34" s="7">
        <f t="shared" si="1"/>
        <v>0.52351560666510211</v>
      </c>
      <c r="I34" s="8">
        <v>2E-3</v>
      </c>
    </row>
    <row r="35" spans="1:9" x14ac:dyDescent="0.3">
      <c r="A35" s="13" t="s">
        <v>46</v>
      </c>
      <c r="B35" s="5">
        <v>2007</v>
      </c>
      <c r="C35" s="5" t="s">
        <v>43</v>
      </c>
      <c r="D35" s="6">
        <v>14594</v>
      </c>
      <c r="E35" s="6">
        <v>15593</v>
      </c>
      <c r="F35" s="6">
        <v>30187</v>
      </c>
      <c r="G35" s="7">
        <f t="shared" si="0"/>
        <v>0.48345314208102824</v>
      </c>
      <c r="H35" s="7">
        <f t="shared" si="1"/>
        <v>0.5165468579189717</v>
      </c>
      <c r="I35" s="8">
        <v>2E-3</v>
      </c>
    </row>
    <row r="36" spans="1:9" x14ac:dyDescent="0.3">
      <c r="A36" s="13" t="s">
        <v>46</v>
      </c>
      <c r="B36" s="5">
        <v>2017</v>
      </c>
      <c r="C36" s="5" t="s">
        <v>43</v>
      </c>
      <c r="D36" s="6">
        <v>11060</v>
      </c>
      <c r="E36" s="6">
        <v>12073</v>
      </c>
      <c r="F36" s="6">
        <v>23133</v>
      </c>
      <c r="G36" s="7">
        <f t="shared" si="0"/>
        <v>0.47810487182812433</v>
      </c>
      <c r="H36" s="7">
        <f t="shared" si="1"/>
        <v>0.52189512817187567</v>
      </c>
      <c r="I36" s="8">
        <v>2E-3</v>
      </c>
    </row>
    <row r="37" spans="1:9" x14ac:dyDescent="0.3">
      <c r="A37" s="13" t="s">
        <v>46</v>
      </c>
      <c r="B37" s="5">
        <v>2026</v>
      </c>
      <c r="C37" s="5" t="s">
        <v>44</v>
      </c>
      <c r="D37" s="9">
        <v>11227</v>
      </c>
      <c r="E37" s="9">
        <v>12255</v>
      </c>
      <c r="F37" s="9">
        <v>23482</v>
      </c>
      <c r="G37" s="7">
        <f t="shared" si="0"/>
        <v>0.47811089345030233</v>
      </c>
      <c r="H37" s="7">
        <f t="shared" si="1"/>
        <v>0.52188910654969767</v>
      </c>
      <c r="I37" s="8">
        <v>2E-3</v>
      </c>
    </row>
    <row r="38" spans="1:9" x14ac:dyDescent="0.3">
      <c r="A38" s="13" t="s">
        <v>46</v>
      </c>
      <c r="B38" s="5">
        <v>2027</v>
      </c>
      <c r="C38" s="5" t="s">
        <v>44</v>
      </c>
      <c r="D38" s="9">
        <v>11246</v>
      </c>
      <c r="E38" s="9">
        <v>12275</v>
      </c>
      <c r="F38" s="9">
        <v>23521</v>
      </c>
      <c r="G38" s="7">
        <f t="shared" si="0"/>
        <v>0.47812593001998216</v>
      </c>
      <c r="H38" s="7">
        <f t="shared" si="1"/>
        <v>0.52187406998001784</v>
      </c>
      <c r="I38" s="8">
        <v>2E-3</v>
      </c>
    </row>
    <row r="39" spans="1:9" x14ac:dyDescent="0.3">
      <c r="A39" s="13" t="s">
        <v>46</v>
      </c>
      <c r="B39" s="5">
        <v>2028</v>
      </c>
      <c r="C39" s="5" t="s">
        <v>44</v>
      </c>
      <c r="D39" s="9">
        <v>11265</v>
      </c>
      <c r="E39" s="9">
        <v>12295</v>
      </c>
      <c r="F39" s="9">
        <v>23560</v>
      </c>
      <c r="G39" s="7">
        <f t="shared" si="0"/>
        <v>0.47814091680814941</v>
      </c>
      <c r="H39" s="7">
        <f t="shared" si="1"/>
        <v>0.52185908319185059</v>
      </c>
      <c r="I39" s="8">
        <v>2E-3</v>
      </c>
    </row>
    <row r="40" spans="1:9" x14ac:dyDescent="0.3">
      <c r="A40" s="13" t="s">
        <v>46</v>
      </c>
      <c r="B40" s="5">
        <v>2029</v>
      </c>
      <c r="C40" s="5" t="s">
        <v>44</v>
      </c>
      <c r="D40" s="9">
        <v>11284</v>
      </c>
      <c r="E40" s="9">
        <v>12315</v>
      </c>
      <c r="F40" s="9">
        <v>23599</v>
      </c>
      <c r="G40" s="7">
        <f t="shared" si="0"/>
        <v>0.47815585406161276</v>
      </c>
      <c r="H40" s="7">
        <f t="shared" si="1"/>
        <v>0.52184414593838724</v>
      </c>
      <c r="I40" s="8">
        <v>2E-3</v>
      </c>
    </row>
    <row r="41" spans="1:9" x14ac:dyDescent="0.3">
      <c r="A41" s="13" t="s">
        <v>46</v>
      </c>
      <c r="B41" s="5">
        <v>2030</v>
      </c>
      <c r="C41" s="5" t="s">
        <v>44</v>
      </c>
      <c r="D41" s="9">
        <v>11303</v>
      </c>
      <c r="E41" s="9">
        <v>12336</v>
      </c>
      <c r="F41" s="9">
        <v>23639</v>
      </c>
      <c r="G41" s="7">
        <f t="shared" si="0"/>
        <v>0.4781505139811329</v>
      </c>
      <c r="H41" s="7">
        <f t="shared" si="1"/>
        <v>0.52184948601886716</v>
      </c>
      <c r="I41" s="8">
        <v>2E-3</v>
      </c>
    </row>
    <row r="42" spans="1:9" x14ac:dyDescent="0.3">
      <c r="A42" s="13" t="s">
        <v>46</v>
      </c>
      <c r="B42" s="5">
        <v>2031</v>
      </c>
      <c r="C42" s="5" t="s">
        <v>44</v>
      </c>
      <c r="D42" s="9">
        <v>11322</v>
      </c>
      <c r="E42" s="9">
        <v>12357</v>
      </c>
      <c r="F42" s="9">
        <v>23679</v>
      </c>
      <c r="G42" s="7">
        <f t="shared" si="0"/>
        <v>0.47814519194222727</v>
      </c>
      <c r="H42" s="7">
        <f t="shared" si="1"/>
        <v>0.52185480805777273</v>
      </c>
      <c r="I42" s="8">
        <v>2E-3</v>
      </c>
    </row>
    <row r="43" spans="1:9" x14ac:dyDescent="0.3">
      <c r="A43" s="14" t="s">
        <v>16</v>
      </c>
      <c r="B43" s="5">
        <v>2007</v>
      </c>
      <c r="C43" s="5" t="s">
        <v>43</v>
      </c>
      <c r="D43" s="6">
        <v>55139</v>
      </c>
      <c r="E43" s="6">
        <v>57091</v>
      </c>
      <c r="F43" s="6">
        <v>112230</v>
      </c>
      <c r="G43" s="7">
        <f t="shared" si="0"/>
        <v>0.49130357301969169</v>
      </c>
      <c r="H43" s="7">
        <f t="shared" si="1"/>
        <v>0.50869642698030826</v>
      </c>
      <c r="I43" s="8">
        <v>2E-3</v>
      </c>
    </row>
    <row r="44" spans="1:9" x14ac:dyDescent="0.3">
      <c r="A44" s="14" t="s">
        <v>16</v>
      </c>
      <c r="B44" s="5">
        <v>2017</v>
      </c>
      <c r="C44" s="5" t="s">
        <v>43</v>
      </c>
      <c r="D44" s="6">
        <v>43199</v>
      </c>
      <c r="E44" s="6">
        <v>46391</v>
      </c>
      <c r="F44" s="6">
        <v>89590</v>
      </c>
      <c r="G44" s="7">
        <f t="shared" si="0"/>
        <v>0.48218551177586783</v>
      </c>
      <c r="H44" s="7">
        <f t="shared" si="1"/>
        <v>0.51781448822413212</v>
      </c>
      <c r="I44" s="8">
        <v>2E-3</v>
      </c>
    </row>
    <row r="45" spans="1:9" x14ac:dyDescent="0.3">
      <c r="A45" s="14" t="s">
        <v>16</v>
      </c>
      <c r="B45" s="5">
        <v>2026</v>
      </c>
      <c r="C45" s="5" t="s">
        <v>44</v>
      </c>
      <c r="D45" s="9">
        <v>43851</v>
      </c>
      <c r="E45" s="9">
        <v>47091</v>
      </c>
      <c r="F45" s="9">
        <v>90942</v>
      </c>
      <c r="G45" s="7">
        <f t="shared" si="0"/>
        <v>0.48218644850564096</v>
      </c>
      <c r="H45" s="7">
        <f t="shared" si="1"/>
        <v>0.51781355149435904</v>
      </c>
      <c r="I45" s="8">
        <v>2E-3</v>
      </c>
    </row>
    <row r="46" spans="1:9" x14ac:dyDescent="0.3">
      <c r="A46" s="14" t="s">
        <v>16</v>
      </c>
      <c r="B46" s="5">
        <v>2027</v>
      </c>
      <c r="C46" s="5" t="s">
        <v>44</v>
      </c>
      <c r="D46" s="9">
        <v>43924</v>
      </c>
      <c r="E46" s="9">
        <v>47169</v>
      </c>
      <c r="F46" s="9">
        <v>91093</v>
      </c>
      <c r="G46" s="7">
        <f t="shared" si="0"/>
        <v>0.48218853259855315</v>
      </c>
      <c r="H46" s="7">
        <f t="shared" si="1"/>
        <v>0.5178114674014469</v>
      </c>
      <c r="I46" s="8">
        <v>2E-3</v>
      </c>
    </row>
    <row r="47" spans="1:9" x14ac:dyDescent="0.3">
      <c r="A47" s="14" t="s">
        <v>16</v>
      </c>
      <c r="B47" s="5">
        <v>2028</v>
      </c>
      <c r="C47" s="5" t="s">
        <v>44</v>
      </c>
      <c r="D47" s="9">
        <v>43997</v>
      </c>
      <c r="E47" s="9">
        <v>47248</v>
      </c>
      <c r="F47" s="9">
        <v>91245</v>
      </c>
      <c r="G47" s="7">
        <f t="shared" si="0"/>
        <v>0.48218532522329993</v>
      </c>
      <c r="H47" s="7">
        <f t="shared" si="1"/>
        <v>0.51781467477670007</v>
      </c>
      <c r="I47" s="8">
        <v>2E-3</v>
      </c>
    </row>
    <row r="48" spans="1:9" x14ac:dyDescent="0.3">
      <c r="A48" s="14" t="s">
        <v>16</v>
      </c>
      <c r="B48" s="5">
        <v>2029</v>
      </c>
      <c r="C48" s="5" t="s">
        <v>44</v>
      </c>
      <c r="D48" s="9">
        <v>44070</v>
      </c>
      <c r="E48" s="9">
        <v>47327</v>
      </c>
      <c r="F48" s="9">
        <v>91397</v>
      </c>
      <c r="G48" s="7">
        <f t="shared" si="0"/>
        <v>0.48218212851625325</v>
      </c>
      <c r="H48" s="7">
        <f t="shared" si="1"/>
        <v>0.51781787148374669</v>
      </c>
      <c r="I48" s="8">
        <v>2E-3</v>
      </c>
    </row>
    <row r="49" spans="1:9" x14ac:dyDescent="0.3">
      <c r="A49" s="14" t="s">
        <v>16</v>
      </c>
      <c r="B49" s="5">
        <v>2030</v>
      </c>
      <c r="C49" s="5" t="s">
        <v>44</v>
      </c>
      <c r="D49" s="9">
        <v>44143</v>
      </c>
      <c r="E49" s="9">
        <v>47406</v>
      </c>
      <c r="F49" s="9">
        <v>91549</v>
      </c>
      <c r="G49" s="7">
        <f t="shared" si="0"/>
        <v>0.4821789424242755</v>
      </c>
      <c r="H49" s="7">
        <f t="shared" si="1"/>
        <v>0.5178210575757245</v>
      </c>
      <c r="I49" s="8">
        <v>2E-3</v>
      </c>
    </row>
    <row r="50" spans="1:9" x14ac:dyDescent="0.3">
      <c r="A50" s="14" t="s">
        <v>16</v>
      </c>
      <c r="B50" s="5">
        <v>2031</v>
      </c>
      <c r="C50" s="5" t="s">
        <v>44</v>
      </c>
      <c r="D50" s="9">
        <v>44217</v>
      </c>
      <c r="E50" s="9">
        <v>47485</v>
      </c>
      <c r="F50" s="9">
        <v>91702</v>
      </c>
      <c r="G50" s="7">
        <f t="shared" si="0"/>
        <v>0.48218141370962464</v>
      </c>
      <c r="H50" s="7">
        <f t="shared" si="1"/>
        <v>0.51781858629037536</v>
      </c>
      <c r="I50" s="8">
        <v>2E-3</v>
      </c>
    </row>
    <row r="51" spans="1:9" x14ac:dyDescent="0.3">
      <c r="A51" s="15" t="s">
        <v>47</v>
      </c>
      <c r="B51" s="5">
        <v>2007</v>
      </c>
      <c r="C51" s="5" t="s">
        <v>43</v>
      </c>
      <c r="D51" s="6">
        <v>26433</v>
      </c>
      <c r="E51" s="6">
        <v>23405</v>
      </c>
      <c r="F51" s="6">
        <v>49838</v>
      </c>
      <c r="G51" s="7">
        <f t="shared" si="0"/>
        <v>0.53037842610056585</v>
      </c>
      <c r="H51" s="7">
        <f t="shared" si="1"/>
        <v>0.46962157389943415</v>
      </c>
      <c r="I51" s="8">
        <v>2E-3</v>
      </c>
    </row>
    <row r="52" spans="1:9" x14ac:dyDescent="0.3">
      <c r="A52" s="15" t="s">
        <v>47</v>
      </c>
      <c r="B52" s="5">
        <v>2017</v>
      </c>
      <c r="C52" s="5" t="s">
        <v>43</v>
      </c>
      <c r="D52" s="6">
        <v>22275</v>
      </c>
      <c r="E52" s="6">
        <v>18115</v>
      </c>
      <c r="F52" s="6">
        <v>40390</v>
      </c>
      <c r="G52" s="7">
        <f t="shared" si="0"/>
        <v>0.55149789551869277</v>
      </c>
      <c r="H52" s="7">
        <f t="shared" si="1"/>
        <v>0.44850210448130723</v>
      </c>
      <c r="I52" s="8">
        <v>2E-3</v>
      </c>
    </row>
    <row r="53" spans="1:9" x14ac:dyDescent="0.3">
      <c r="A53" s="15" t="s">
        <v>47</v>
      </c>
      <c r="B53" s="5">
        <v>2026</v>
      </c>
      <c r="C53" s="5" t="s">
        <v>44</v>
      </c>
      <c r="D53" s="9">
        <v>22611</v>
      </c>
      <c r="E53" s="9">
        <v>18388</v>
      </c>
      <c r="F53" s="9">
        <v>40999</v>
      </c>
      <c r="G53" s="7">
        <f t="shared" si="0"/>
        <v>0.55150125612819823</v>
      </c>
      <c r="H53" s="7">
        <f t="shared" si="1"/>
        <v>0.44849874387180177</v>
      </c>
      <c r="I53" s="8">
        <v>2E-3</v>
      </c>
    </row>
    <row r="54" spans="1:9" x14ac:dyDescent="0.3">
      <c r="A54" s="15" t="s">
        <v>47</v>
      </c>
      <c r="B54" s="5">
        <v>2027</v>
      </c>
      <c r="C54" s="5" t="s">
        <v>44</v>
      </c>
      <c r="D54" s="9">
        <v>22649</v>
      </c>
      <c r="E54" s="9">
        <v>18419</v>
      </c>
      <c r="F54" s="9">
        <v>41068</v>
      </c>
      <c r="G54" s="7">
        <f t="shared" si="0"/>
        <v>0.55149995130028251</v>
      </c>
      <c r="H54" s="7">
        <f t="shared" si="1"/>
        <v>0.44850004869971755</v>
      </c>
      <c r="I54" s="8">
        <v>2E-3</v>
      </c>
    </row>
    <row r="55" spans="1:9" x14ac:dyDescent="0.3">
      <c r="A55" s="15" t="s">
        <v>47</v>
      </c>
      <c r="B55" s="5">
        <v>2028</v>
      </c>
      <c r="C55" s="5" t="s">
        <v>44</v>
      </c>
      <c r="D55" s="9">
        <v>22687</v>
      </c>
      <c r="E55" s="9">
        <v>18450</v>
      </c>
      <c r="F55" s="9">
        <v>41137</v>
      </c>
      <c r="G55" s="7">
        <f t="shared" si="0"/>
        <v>0.55149865084960015</v>
      </c>
      <c r="H55" s="7">
        <f t="shared" si="1"/>
        <v>0.44850134915039991</v>
      </c>
      <c r="I55" s="8">
        <v>2E-3</v>
      </c>
    </row>
    <row r="56" spans="1:9" x14ac:dyDescent="0.3">
      <c r="A56" s="15" t="s">
        <v>47</v>
      </c>
      <c r="B56" s="5">
        <v>2029</v>
      </c>
      <c r="C56" s="5" t="s">
        <v>44</v>
      </c>
      <c r="D56" s="9">
        <v>22725</v>
      </c>
      <c r="E56" s="9">
        <v>18481</v>
      </c>
      <c r="F56" s="9">
        <v>41206</v>
      </c>
      <c r="G56" s="7">
        <f t="shared" si="0"/>
        <v>0.55149735475416206</v>
      </c>
      <c r="H56" s="7">
        <f t="shared" si="1"/>
        <v>0.44850264524583799</v>
      </c>
      <c r="I56" s="8">
        <v>2E-3</v>
      </c>
    </row>
    <row r="57" spans="1:9" x14ac:dyDescent="0.3">
      <c r="A57" s="15" t="s">
        <v>47</v>
      </c>
      <c r="B57" s="5">
        <v>2030</v>
      </c>
      <c r="C57" s="5" t="s">
        <v>44</v>
      </c>
      <c r="D57" s="9">
        <v>22763</v>
      </c>
      <c r="E57" s="9">
        <v>18512</v>
      </c>
      <c r="F57" s="9">
        <v>41275</v>
      </c>
      <c r="G57" s="7">
        <f t="shared" si="0"/>
        <v>0.55149606299212595</v>
      </c>
      <c r="H57" s="7">
        <f t="shared" si="1"/>
        <v>0.448503937007874</v>
      </c>
      <c r="I57" s="8">
        <v>2E-3</v>
      </c>
    </row>
    <row r="58" spans="1:9" x14ac:dyDescent="0.3">
      <c r="A58" s="15" t="s">
        <v>47</v>
      </c>
      <c r="B58" s="5">
        <v>2031</v>
      </c>
      <c r="C58" s="5" t="s">
        <v>44</v>
      </c>
      <c r="D58" s="9">
        <v>22801</v>
      </c>
      <c r="E58" s="9">
        <v>18543</v>
      </c>
      <c r="F58" s="9">
        <v>41344</v>
      </c>
      <c r="G58" s="7">
        <f t="shared" si="0"/>
        <v>0.55149477554179571</v>
      </c>
      <c r="H58" s="7">
        <f t="shared" si="1"/>
        <v>0.44850522445820434</v>
      </c>
      <c r="I58" s="8">
        <v>2E-3</v>
      </c>
    </row>
    <row r="59" spans="1:9" x14ac:dyDescent="0.3">
      <c r="A59" s="16" t="s">
        <v>17</v>
      </c>
      <c r="B59" s="5">
        <v>2007</v>
      </c>
      <c r="C59" s="5" t="s">
        <v>43</v>
      </c>
      <c r="D59" s="6">
        <v>25096</v>
      </c>
      <c r="E59" s="6">
        <v>26782</v>
      </c>
      <c r="F59" s="6">
        <v>51878</v>
      </c>
      <c r="G59" s="7">
        <f t="shared" si="0"/>
        <v>0.48375033732988937</v>
      </c>
      <c r="H59" s="7">
        <f t="shared" si="1"/>
        <v>0.51624966267011063</v>
      </c>
      <c r="I59" s="8">
        <v>2E-3</v>
      </c>
    </row>
    <row r="60" spans="1:9" x14ac:dyDescent="0.3">
      <c r="A60" s="16" t="s">
        <v>17</v>
      </c>
      <c r="B60" s="5">
        <v>2017</v>
      </c>
      <c r="C60" s="5" t="s">
        <v>43</v>
      </c>
      <c r="D60" s="6">
        <v>25923</v>
      </c>
      <c r="E60" s="6">
        <v>27065</v>
      </c>
      <c r="F60" s="6">
        <v>52988</v>
      </c>
      <c r="G60" s="7">
        <f t="shared" si="0"/>
        <v>0.48922397523967692</v>
      </c>
      <c r="H60" s="7">
        <f t="shared" si="1"/>
        <v>0.51077602476032313</v>
      </c>
      <c r="I60" s="8">
        <v>2E-3</v>
      </c>
    </row>
    <row r="61" spans="1:9" x14ac:dyDescent="0.3">
      <c r="A61" s="16" t="s">
        <v>17</v>
      </c>
      <c r="B61" s="5">
        <v>2026</v>
      </c>
      <c r="C61" s="5" t="s">
        <v>44</v>
      </c>
      <c r="D61" s="9">
        <v>26314</v>
      </c>
      <c r="E61" s="9">
        <v>27473</v>
      </c>
      <c r="F61" s="9">
        <v>53787</v>
      </c>
      <c r="G61" s="7">
        <f t="shared" si="0"/>
        <v>0.48922602115752878</v>
      </c>
      <c r="H61" s="7">
        <f t="shared" si="1"/>
        <v>0.51077397884247122</v>
      </c>
      <c r="I61" s="8">
        <v>2E-3</v>
      </c>
    </row>
    <row r="62" spans="1:9" x14ac:dyDescent="0.3">
      <c r="A62" s="16" t="s">
        <v>17</v>
      </c>
      <c r="B62" s="5">
        <v>2027</v>
      </c>
      <c r="C62" s="5" t="s">
        <v>44</v>
      </c>
      <c r="D62" s="9">
        <v>26358</v>
      </c>
      <c r="E62" s="9">
        <v>27519</v>
      </c>
      <c r="F62" s="9">
        <v>53877</v>
      </c>
      <c r="G62" s="7">
        <f t="shared" si="0"/>
        <v>0.4892254579876385</v>
      </c>
      <c r="H62" s="7">
        <f t="shared" si="1"/>
        <v>0.5107745420123615</v>
      </c>
      <c r="I62" s="8">
        <v>2E-3</v>
      </c>
    </row>
    <row r="63" spans="1:9" x14ac:dyDescent="0.3">
      <c r="A63" s="16" t="s">
        <v>17</v>
      </c>
      <c r="B63" s="5">
        <v>2028</v>
      </c>
      <c r="C63" s="5" t="s">
        <v>44</v>
      </c>
      <c r="D63" s="9">
        <v>26402</v>
      </c>
      <c r="E63" s="9">
        <v>27565</v>
      </c>
      <c r="F63" s="9">
        <v>53967</v>
      </c>
      <c r="G63" s="7">
        <f t="shared" si="0"/>
        <v>0.48922489669612912</v>
      </c>
      <c r="H63" s="7">
        <f t="shared" si="1"/>
        <v>0.51077510330387088</v>
      </c>
      <c r="I63" s="8">
        <v>2E-3</v>
      </c>
    </row>
    <row r="64" spans="1:9" x14ac:dyDescent="0.3">
      <c r="A64" s="16" t="s">
        <v>17</v>
      </c>
      <c r="B64" s="5">
        <v>2029</v>
      </c>
      <c r="C64" s="5" t="s">
        <v>44</v>
      </c>
      <c r="D64" s="9">
        <v>26446</v>
      </c>
      <c r="E64" s="9">
        <v>27611</v>
      </c>
      <c r="F64" s="9">
        <v>54057</v>
      </c>
      <c r="G64" s="7">
        <f t="shared" si="0"/>
        <v>0.48922433727361858</v>
      </c>
      <c r="H64" s="7">
        <f t="shared" si="1"/>
        <v>0.51077566272638142</v>
      </c>
      <c r="I64" s="8">
        <v>2E-3</v>
      </c>
    </row>
    <row r="65" spans="1:9" x14ac:dyDescent="0.3">
      <c r="A65" s="16" t="s">
        <v>17</v>
      </c>
      <c r="B65" s="5">
        <v>2030</v>
      </c>
      <c r="C65" s="5" t="s">
        <v>44</v>
      </c>
      <c r="D65" s="9">
        <v>26490</v>
      </c>
      <c r="E65" s="9">
        <v>27657</v>
      </c>
      <c r="F65" s="9">
        <v>54147</v>
      </c>
      <c r="G65" s="7">
        <f t="shared" si="0"/>
        <v>0.48922377971078729</v>
      </c>
      <c r="H65" s="7">
        <f t="shared" si="1"/>
        <v>0.51077622028921266</v>
      </c>
      <c r="I65" s="8">
        <v>2E-3</v>
      </c>
    </row>
    <row r="66" spans="1:9" x14ac:dyDescent="0.3">
      <c r="A66" s="16" t="s">
        <v>17</v>
      </c>
      <c r="B66" s="5">
        <v>2031</v>
      </c>
      <c r="C66" s="5" t="s">
        <v>44</v>
      </c>
      <c r="D66" s="9">
        <v>26534</v>
      </c>
      <c r="E66" s="9">
        <v>27703</v>
      </c>
      <c r="F66" s="9">
        <v>54237</v>
      </c>
      <c r="G66" s="7">
        <f t="shared" si="0"/>
        <v>0.48922322399837748</v>
      </c>
      <c r="H66" s="7">
        <f t="shared" si="1"/>
        <v>0.51077677600162252</v>
      </c>
      <c r="I66" s="8">
        <v>2E-3</v>
      </c>
    </row>
    <row r="67" spans="1:9" x14ac:dyDescent="0.3">
      <c r="A67" s="17" t="s">
        <v>48</v>
      </c>
      <c r="B67" s="5">
        <v>2007</v>
      </c>
      <c r="C67" s="5" t="s">
        <v>43</v>
      </c>
      <c r="D67" s="6">
        <v>52038</v>
      </c>
      <c r="E67" s="6">
        <v>52863</v>
      </c>
      <c r="F67" s="6">
        <v>104901</v>
      </c>
      <c r="G67" s="7">
        <f t="shared" ref="G67:G74" si="2">IF(F67&gt;0,D67/F67,"")</f>
        <v>0.49606772099408014</v>
      </c>
      <c r="H67" s="7">
        <f t="shared" ref="H67:H74" si="3">IF(F67&gt;0,E67/F67,"")</f>
        <v>0.50393227900591986</v>
      </c>
      <c r="I67" s="18">
        <v>-2.7E-2</v>
      </c>
    </row>
    <row r="68" spans="1:9" x14ac:dyDescent="0.3">
      <c r="A68" s="17" t="s">
        <v>48</v>
      </c>
      <c r="B68" s="5">
        <v>2017</v>
      </c>
      <c r="C68" s="5" t="s">
        <v>43</v>
      </c>
      <c r="D68" s="6">
        <v>39922</v>
      </c>
      <c r="E68" s="6">
        <v>41481</v>
      </c>
      <c r="F68" s="6">
        <v>81403</v>
      </c>
      <c r="G68" s="7">
        <f t="shared" si="2"/>
        <v>0.49042418584081665</v>
      </c>
      <c r="H68" s="7">
        <f t="shared" si="3"/>
        <v>0.50957581415918329</v>
      </c>
      <c r="I68" s="18">
        <v>-2.7E-2</v>
      </c>
    </row>
    <row r="69" spans="1:9" x14ac:dyDescent="0.3">
      <c r="A69" s="17" t="s">
        <v>48</v>
      </c>
      <c r="B69" s="5">
        <v>2026</v>
      </c>
      <c r="C69" s="5" t="s">
        <v>44</v>
      </c>
      <c r="D69" s="9">
        <v>31347</v>
      </c>
      <c r="E69" s="9">
        <v>32571</v>
      </c>
      <c r="F69" s="9">
        <v>63918</v>
      </c>
      <c r="G69" s="7">
        <f t="shared" si="2"/>
        <v>0.49042523232892143</v>
      </c>
      <c r="H69" s="7">
        <f t="shared" si="3"/>
        <v>0.50957476767107857</v>
      </c>
      <c r="I69" s="18">
        <v>-2.7E-2</v>
      </c>
    </row>
    <row r="70" spans="1:9" x14ac:dyDescent="0.3">
      <c r="A70" s="17" t="s">
        <v>48</v>
      </c>
      <c r="B70" s="5">
        <v>2027</v>
      </c>
      <c r="C70" s="5" t="s">
        <v>44</v>
      </c>
      <c r="D70" s="9">
        <v>30516</v>
      </c>
      <c r="E70" s="9">
        <v>31708</v>
      </c>
      <c r="F70" s="9">
        <v>62224</v>
      </c>
      <c r="G70" s="7">
        <f t="shared" si="2"/>
        <v>0.49042170223707893</v>
      </c>
      <c r="H70" s="7">
        <f t="shared" si="3"/>
        <v>0.50957829776292107</v>
      </c>
      <c r="I70" s="18">
        <v>-2.7E-2</v>
      </c>
    </row>
    <row r="71" spans="1:9" x14ac:dyDescent="0.3">
      <c r="A71" s="17" t="s">
        <v>48</v>
      </c>
      <c r="B71" s="5">
        <v>2028</v>
      </c>
      <c r="C71" s="5" t="s">
        <v>44</v>
      </c>
      <c r="D71" s="9">
        <v>29707</v>
      </c>
      <c r="E71" s="9">
        <v>30867</v>
      </c>
      <c r="F71" s="9">
        <v>60574</v>
      </c>
      <c r="G71" s="7">
        <f t="shared" si="2"/>
        <v>0.4904249347905042</v>
      </c>
      <c r="H71" s="7">
        <f t="shared" si="3"/>
        <v>0.5095750652094958</v>
      </c>
      <c r="I71" s="18">
        <v>-2.7E-2</v>
      </c>
    </row>
    <row r="72" spans="1:9" x14ac:dyDescent="0.3">
      <c r="A72" s="17" t="s">
        <v>48</v>
      </c>
      <c r="B72" s="5">
        <v>2029</v>
      </c>
      <c r="C72" s="5" t="s">
        <v>44</v>
      </c>
      <c r="D72" s="9">
        <v>28919</v>
      </c>
      <c r="E72" s="9">
        <v>30049</v>
      </c>
      <c r="F72" s="9">
        <v>58968</v>
      </c>
      <c r="G72" s="7">
        <f t="shared" si="2"/>
        <v>0.49041853208519876</v>
      </c>
      <c r="H72" s="7">
        <f t="shared" si="3"/>
        <v>0.5095814679148013</v>
      </c>
      <c r="I72" s="18">
        <v>-2.7E-2</v>
      </c>
    </row>
    <row r="73" spans="1:9" x14ac:dyDescent="0.3">
      <c r="A73" s="17" t="s">
        <v>48</v>
      </c>
      <c r="B73" s="5">
        <v>2030</v>
      </c>
      <c r="C73" s="5" t="s">
        <v>44</v>
      </c>
      <c r="D73" s="9">
        <v>28152</v>
      </c>
      <c r="E73" s="9">
        <v>29252</v>
      </c>
      <c r="F73" s="9">
        <v>57404</v>
      </c>
      <c r="G73" s="7">
        <f t="shared" si="2"/>
        <v>0.49041878614730683</v>
      </c>
      <c r="H73" s="7">
        <f t="shared" si="3"/>
        <v>0.50958121385269317</v>
      </c>
      <c r="I73" s="18">
        <v>-2.7E-2</v>
      </c>
    </row>
    <row r="74" spans="1:9" x14ac:dyDescent="0.3">
      <c r="A74" s="17" t="s">
        <v>48</v>
      </c>
      <c r="B74" s="5">
        <v>2031</v>
      </c>
      <c r="C74" s="5" t="s">
        <v>44</v>
      </c>
      <c r="D74" s="9">
        <v>27406</v>
      </c>
      <c r="E74" s="9">
        <v>28477</v>
      </c>
      <c r="F74" s="9">
        <v>55883</v>
      </c>
      <c r="G74" s="7">
        <f t="shared" si="2"/>
        <v>0.49041747937655461</v>
      </c>
      <c r="H74" s="7">
        <f t="shared" si="3"/>
        <v>0.50958252062344545</v>
      </c>
      <c r="I74" s="18">
        <v>-2.7E-2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B215E-CF87-41E3-ACE2-9B8A7419E4C2}">
  <sheetPr>
    <tabColor theme="9" tint="0.59999389629810485"/>
  </sheetPr>
  <dimension ref="A1:K30"/>
  <sheetViews>
    <sheetView zoomScaleNormal="100" workbookViewId="0">
      <selection activeCell="M29" sqref="M29"/>
    </sheetView>
  </sheetViews>
  <sheetFormatPr baseColWidth="10" defaultColWidth="8.6640625" defaultRowHeight="14.4" x14ac:dyDescent="0.3"/>
  <cols>
    <col min="1" max="1" width="20" style="2" customWidth="1"/>
    <col min="2" max="10" width="12" style="2" customWidth="1"/>
    <col min="11" max="16384" width="8.6640625" style="2"/>
  </cols>
  <sheetData>
    <row r="1" spans="1:11" ht="21.75" customHeight="1" x14ac:dyDescent="0.3">
      <c r="A1" s="74" t="s">
        <v>229</v>
      </c>
      <c r="B1" s="74"/>
      <c r="C1" s="74"/>
      <c r="D1" s="74"/>
      <c r="E1" s="74"/>
      <c r="F1" s="74"/>
      <c r="G1" s="74"/>
      <c r="H1" s="74"/>
      <c r="I1" s="74"/>
      <c r="J1" s="74"/>
      <c r="K1" s="74"/>
    </row>
    <row r="2" spans="1:11" ht="15" customHeight="1" x14ac:dyDescent="0.3">
      <c r="A2" s="75" t="s">
        <v>0</v>
      </c>
      <c r="B2" s="75" t="s">
        <v>230</v>
      </c>
      <c r="C2" s="3" t="s">
        <v>231</v>
      </c>
      <c r="D2" s="3" t="s">
        <v>6</v>
      </c>
      <c r="E2" s="3" t="s">
        <v>232</v>
      </c>
      <c r="F2" s="3" t="s">
        <v>233</v>
      </c>
      <c r="G2" s="3" t="s">
        <v>234</v>
      </c>
      <c r="H2" s="3" t="s">
        <v>235</v>
      </c>
      <c r="I2" s="3" t="s">
        <v>236</v>
      </c>
      <c r="J2" s="3" t="s">
        <v>237</v>
      </c>
    </row>
    <row r="3" spans="1:11" x14ac:dyDescent="0.3">
      <c r="A3" s="75"/>
      <c r="B3" s="75"/>
      <c r="C3" s="49" t="s">
        <v>43</v>
      </c>
      <c r="D3" s="49" t="s">
        <v>43</v>
      </c>
      <c r="E3" s="49" t="s">
        <v>238</v>
      </c>
      <c r="F3" s="49" t="s">
        <v>238</v>
      </c>
      <c r="G3" s="49" t="s">
        <v>238</v>
      </c>
      <c r="H3" s="49" t="s">
        <v>238</v>
      </c>
      <c r="I3" s="49" t="s">
        <v>238</v>
      </c>
      <c r="J3" s="49" t="s">
        <v>238</v>
      </c>
    </row>
    <row r="4" spans="1:11" x14ac:dyDescent="0.3">
      <c r="A4" s="4" t="s">
        <v>42</v>
      </c>
      <c r="B4" s="50" t="s">
        <v>239</v>
      </c>
      <c r="C4" s="6">
        <v>417661</v>
      </c>
      <c r="D4" s="6">
        <v>426024</v>
      </c>
      <c r="E4" s="9">
        <v>432453</v>
      </c>
      <c r="F4" s="9">
        <v>433174</v>
      </c>
      <c r="G4" s="9">
        <v>433896</v>
      </c>
      <c r="H4" s="9">
        <v>434619</v>
      </c>
      <c r="I4" s="9">
        <v>435342</v>
      </c>
      <c r="J4" s="9">
        <v>436068</v>
      </c>
    </row>
    <row r="5" spans="1:11" x14ac:dyDescent="0.3">
      <c r="A5" s="4"/>
      <c r="B5" s="51" t="s">
        <v>240</v>
      </c>
      <c r="C5" s="6">
        <v>444992</v>
      </c>
      <c r="D5" s="6">
        <v>464540</v>
      </c>
      <c r="E5" s="9">
        <v>471549</v>
      </c>
      <c r="F5" s="9">
        <v>472334</v>
      </c>
      <c r="G5" s="9">
        <v>473121</v>
      </c>
      <c r="H5" s="9">
        <v>473909</v>
      </c>
      <c r="I5" s="9">
        <v>474700</v>
      </c>
      <c r="J5" s="9">
        <v>475491</v>
      </c>
    </row>
    <row r="6" spans="1:11" x14ac:dyDescent="0.3">
      <c r="A6" s="4"/>
      <c r="B6" s="52" t="s">
        <v>241</v>
      </c>
      <c r="C6" s="6">
        <v>862653</v>
      </c>
      <c r="D6" s="6">
        <v>890564</v>
      </c>
      <c r="E6" s="9">
        <v>904002</v>
      </c>
      <c r="F6" s="9">
        <v>905508</v>
      </c>
      <c r="G6" s="9">
        <v>907017</v>
      </c>
      <c r="H6" s="9">
        <v>908528</v>
      </c>
      <c r="I6" s="9">
        <v>910042</v>
      </c>
      <c r="J6" s="9">
        <v>911559</v>
      </c>
    </row>
    <row r="7" spans="1:11" x14ac:dyDescent="0.3">
      <c r="A7" s="10" t="s">
        <v>5</v>
      </c>
      <c r="B7" s="50" t="s">
        <v>239</v>
      </c>
      <c r="C7" s="6">
        <v>222808</v>
      </c>
      <c r="D7" s="6">
        <v>257473</v>
      </c>
      <c r="E7" s="9">
        <v>261358</v>
      </c>
      <c r="F7" s="9">
        <v>261793</v>
      </c>
      <c r="G7" s="9">
        <v>262229</v>
      </c>
      <c r="H7" s="9">
        <v>262666</v>
      </c>
      <c r="I7" s="9">
        <v>263103</v>
      </c>
      <c r="J7" s="9">
        <v>263541</v>
      </c>
    </row>
    <row r="8" spans="1:11" x14ac:dyDescent="0.3">
      <c r="A8" s="10"/>
      <c r="B8" s="51" t="s">
        <v>240</v>
      </c>
      <c r="C8" s="6">
        <v>243538</v>
      </c>
      <c r="D8" s="6">
        <v>288142</v>
      </c>
      <c r="E8" s="9">
        <v>292490</v>
      </c>
      <c r="F8" s="9">
        <v>292977</v>
      </c>
      <c r="G8" s="9">
        <v>293465</v>
      </c>
      <c r="H8" s="9">
        <v>293954</v>
      </c>
      <c r="I8" s="9">
        <v>294444</v>
      </c>
      <c r="J8" s="9">
        <v>294934</v>
      </c>
    </row>
    <row r="9" spans="1:11" x14ac:dyDescent="0.3">
      <c r="A9" s="10"/>
      <c r="B9" s="52" t="s">
        <v>241</v>
      </c>
      <c r="C9" s="6">
        <v>466346</v>
      </c>
      <c r="D9" s="6">
        <v>545615</v>
      </c>
      <c r="E9" s="9">
        <v>553848</v>
      </c>
      <c r="F9" s="9">
        <v>554770</v>
      </c>
      <c r="G9" s="9">
        <v>555694</v>
      </c>
      <c r="H9" s="9">
        <v>556620</v>
      </c>
      <c r="I9" s="9">
        <v>557547</v>
      </c>
      <c r="J9" s="9">
        <v>558475</v>
      </c>
    </row>
    <row r="10" spans="1:11" x14ac:dyDescent="0.3">
      <c r="A10" s="11" t="s">
        <v>45</v>
      </c>
      <c r="B10" s="50" t="s">
        <v>239</v>
      </c>
      <c r="C10" s="6">
        <v>29280</v>
      </c>
      <c r="D10" s="6">
        <v>26423</v>
      </c>
      <c r="E10" s="9">
        <v>26822</v>
      </c>
      <c r="F10" s="9">
        <v>26867</v>
      </c>
      <c r="G10" s="9">
        <v>26912</v>
      </c>
      <c r="H10" s="9">
        <v>26957</v>
      </c>
      <c r="I10" s="9">
        <v>27002</v>
      </c>
      <c r="J10" s="9">
        <v>27047</v>
      </c>
    </row>
    <row r="11" spans="1:11" x14ac:dyDescent="0.3">
      <c r="A11" s="11"/>
      <c r="B11" s="51" t="s">
        <v>240</v>
      </c>
      <c r="C11" s="6">
        <v>30841</v>
      </c>
      <c r="D11" s="6">
        <v>29168</v>
      </c>
      <c r="E11" s="9">
        <v>29608</v>
      </c>
      <c r="F11" s="9">
        <v>29657</v>
      </c>
      <c r="G11" s="9">
        <v>29706</v>
      </c>
      <c r="H11" s="9">
        <v>29755</v>
      </c>
      <c r="I11" s="9">
        <v>29805</v>
      </c>
      <c r="J11" s="9">
        <v>29855</v>
      </c>
    </row>
    <row r="12" spans="1:11" x14ac:dyDescent="0.3">
      <c r="A12" s="11"/>
      <c r="B12" s="52" t="s">
        <v>241</v>
      </c>
      <c r="C12" s="6">
        <v>60121</v>
      </c>
      <c r="D12" s="6">
        <v>55591</v>
      </c>
      <c r="E12" s="9">
        <v>56430</v>
      </c>
      <c r="F12" s="9">
        <v>56524</v>
      </c>
      <c r="G12" s="9">
        <v>56618</v>
      </c>
      <c r="H12" s="9">
        <v>56712</v>
      </c>
      <c r="I12" s="9">
        <v>56807</v>
      </c>
      <c r="J12" s="9">
        <v>56902</v>
      </c>
    </row>
    <row r="13" spans="1:11" x14ac:dyDescent="0.3">
      <c r="A13" s="12" t="s">
        <v>19</v>
      </c>
      <c r="B13" s="50" t="s">
        <v>239</v>
      </c>
      <c r="C13" s="6">
        <v>44311</v>
      </c>
      <c r="D13" s="6">
        <v>39671</v>
      </c>
      <c r="E13" s="9">
        <v>40270</v>
      </c>
      <c r="F13" s="9">
        <v>40337</v>
      </c>
      <c r="G13" s="9">
        <v>40404</v>
      </c>
      <c r="H13" s="9">
        <v>40471</v>
      </c>
      <c r="I13" s="9">
        <v>40538</v>
      </c>
      <c r="J13" s="9">
        <v>40606</v>
      </c>
    </row>
    <row r="14" spans="1:11" x14ac:dyDescent="0.3">
      <c r="A14" s="12"/>
      <c r="B14" s="51" t="s">
        <v>240</v>
      </c>
      <c r="C14" s="6">
        <v>47742</v>
      </c>
      <c r="D14" s="6">
        <v>43586</v>
      </c>
      <c r="E14" s="9">
        <v>44244</v>
      </c>
      <c r="F14" s="9">
        <v>44318</v>
      </c>
      <c r="G14" s="9">
        <v>44392</v>
      </c>
      <c r="H14" s="9">
        <v>44466</v>
      </c>
      <c r="I14" s="9">
        <v>44540</v>
      </c>
      <c r="J14" s="9">
        <v>44614</v>
      </c>
    </row>
    <row r="15" spans="1:11" x14ac:dyDescent="0.3">
      <c r="A15" s="12"/>
      <c r="B15" s="52" t="s">
        <v>241</v>
      </c>
      <c r="C15" s="6">
        <v>92053</v>
      </c>
      <c r="D15" s="6">
        <v>83257</v>
      </c>
      <c r="E15" s="9">
        <v>84514</v>
      </c>
      <c r="F15" s="9">
        <v>84655</v>
      </c>
      <c r="G15" s="9">
        <v>84796</v>
      </c>
      <c r="H15" s="9">
        <v>84937</v>
      </c>
      <c r="I15" s="9">
        <v>85078</v>
      </c>
      <c r="J15" s="9">
        <v>85220</v>
      </c>
    </row>
    <row r="16" spans="1:11" x14ac:dyDescent="0.3">
      <c r="A16" s="13" t="s">
        <v>46</v>
      </c>
      <c r="B16" s="50" t="s">
        <v>239</v>
      </c>
      <c r="C16" s="6">
        <v>14594</v>
      </c>
      <c r="D16" s="6">
        <v>11060</v>
      </c>
      <c r="E16" s="9">
        <v>11227</v>
      </c>
      <c r="F16" s="9">
        <v>11246</v>
      </c>
      <c r="G16" s="9">
        <v>11265</v>
      </c>
      <c r="H16" s="9">
        <v>11284</v>
      </c>
      <c r="I16" s="9">
        <v>11303</v>
      </c>
      <c r="J16" s="9">
        <v>11322</v>
      </c>
    </row>
    <row r="17" spans="1:10" x14ac:dyDescent="0.3">
      <c r="A17" s="13"/>
      <c r="B17" s="51" t="s">
        <v>240</v>
      </c>
      <c r="C17" s="6">
        <v>15593</v>
      </c>
      <c r="D17" s="6">
        <v>12073</v>
      </c>
      <c r="E17" s="9">
        <v>12255</v>
      </c>
      <c r="F17" s="9">
        <v>12275</v>
      </c>
      <c r="G17" s="9">
        <v>12295</v>
      </c>
      <c r="H17" s="9">
        <v>12315</v>
      </c>
      <c r="I17" s="9">
        <v>12336</v>
      </c>
      <c r="J17" s="9">
        <v>12357</v>
      </c>
    </row>
    <row r="18" spans="1:10" x14ac:dyDescent="0.3">
      <c r="A18" s="13"/>
      <c r="B18" s="52" t="s">
        <v>241</v>
      </c>
      <c r="C18" s="6">
        <v>30187</v>
      </c>
      <c r="D18" s="6">
        <v>23133</v>
      </c>
      <c r="E18" s="9">
        <v>23482</v>
      </c>
      <c r="F18" s="9">
        <v>23521</v>
      </c>
      <c r="G18" s="9">
        <v>23560</v>
      </c>
      <c r="H18" s="9">
        <v>23599</v>
      </c>
      <c r="I18" s="9">
        <v>23639</v>
      </c>
      <c r="J18" s="9">
        <v>23679</v>
      </c>
    </row>
    <row r="19" spans="1:10" x14ac:dyDescent="0.3">
      <c r="A19" s="14" t="s">
        <v>16</v>
      </c>
      <c r="B19" s="50" t="s">
        <v>239</v>
      </c>
      <c r="C19" s="6">
        <v>55139</v>
      </c>
      <c r="D19" s="6">
        <v>43199</v>
      </c>
      <c r="E19" s="9">
        <v>43851</v>
      </c>
      <c r="F19" s="9">
        <v>43924</v>
      </c>
      <c r="G19" s="9">
        <v>43997</v>
      </c>
      <c r="H19" s="9">
        <v>44070</v>
      </c>
      <c r="I19" s="9">
        <v>44143</v>
      </c>
      <c r="J19" s="9">
        <v>44217</v>
      </c>
    </row>
    <row r="20" spans="1:10" x14ac:dyDescent="0.3">
      <c r="A20" s="14"/>
      <c r="B20" s="51" t="s">
        <v>240</v>
      </c>
      <c r="C20" s="6">
        <v>57091</v>
      </c>
      <c r="D20" s="6">
        <v>46391</v>
      </c>
      <c r="E20" s="9">
        <v>47091</v>
      </c>
      <c r="F20" s="9">
        <v>47169</v>
      </c>
      <c r="G20" s="9">
        <v>47248</v>
      </c>
      <c r="H20" s="9">
        <v>47327</v>
      </c>
      <c r="I20" s="9">
        <v>47406</v>
      </c>
      <c r="J20" s="9">
        <v>47485</v>
      </c>
    </row>
    <row r="21" spans="1:10" x14ac:dyDescent="0.3">
      <c r="A21" s="14"/>
      <c r="B21" s="52" t="s">
        <v>241</v>
      </c>
      <c r="C21" s="6">
        <v>112230</v>
      </c>
      <c r="D21" s="6">
        <v>89590</v>
      </c>
      <c r="E21" s="9">
        <v>90942</v>
      </c>
      <c r="F21" s="9">
        <v>91093</v>
      </c>
      <c r="G21" s="9">
        <v>91245</v>
      </c>
      <c r="H21" s="9">
        <v>91397</v>
      </c>
      <c r="I21" s="9">
        <v>91549</v>
      </c>
      <c r="J21" s="9">
        <v>91702</v>
      </c>
    </row>
    <row r="22" spans="1:10" x14ac:dyDescent="0.3">
      <c r="A22" s="15" t="s">
        <v>47</v>
      </c>
      <c r="B22" s="50" t="s">
        <v>239</v>
      </c>
      <c r="C22" s="6">
        <v>26433</v>
      </c>
      <c r="D22" s="6">
        <v>22275</v>
      </c>
      <c r="E22" s="9">
        <v>22611</v>
      </c>
      <c r="F22" s="9">
        <v>22649</v>
      </c>
      <c r="G22" s="9">
        <v>22687</v>
      </c>
      <c r="H22" s="9">
        <v>22725</v>
      </c>
      <c r="I22" s="9">
        <v>22763</v>
      </c>
      <c r="J22" s="9">
        <v>22801</v>
      </c>
    </row>
    <row r="23" spans="1:10" x14ac:dyDescent="0.3">
      <c r="A23" s="15"/>
      <c r="B23" s="51" t="s">
        <v>240</v>
      </c>
      <c r="C23" s="6">
        <v>23405</v>
      </c>
      <c r="D23" s="6">
        <v>18115</v>
      </c>
      <c r="E23" s="9">
        <v>18388</v>
      </c>
      <c r="F23" s="9">
        <v>18419</v>
      </c>
      <c r="G23" s="9">
        <v>18450</v>
      </c>
      <c r="H23" s="9">
        <v>18481</v>
      </c>
      <c r="I23" s="9">
        <v>18512</v>
      </c>
      <c r="J23" s="9">
        <v>18543</v>
      </c>
    </row>
    <row r="24" spans="1:10" x14ac:dyDescent="0.3">
      <c r="A24" s="15"/>
      <c r="B24" s="52" t="s">
        <v>241</v>
      </c>
      <c r="C24" s="6">
        <v>49838</v>
      </c>
      <c r="D24" s="6">
        <v>40390</v>
      </c>
      <c r="E24" s="9">
        <v>40999</v>
      </c>
      <c r="F24" s="9">
        <v>41068</v>
      </c>
      <c r="G24" s="9">
        <v>41137</v>
      </c>
      <c r="H24" s="9">
        <v>41206</v>
      </c>
      <c r="I24" s="9">
        <v>41275</v>
      </c>
      <c r="J24" s="9">
        <v>41344</v>
      </c>
    </row>
    <row r="25" spans="1:10" x14ac:dyDescent="0.3">
      <c r="A25" s="16" t="s">
        <v>17</v>
      </c>
      <c r="B25" s="50" t="s">
        <v>239</v>
      </c>
      <c r="C25" s="6">
        <v>25096</v>
      </c>
      <c r="D25" s="6">
        <v>25923</v>
      </c>
      <c r="E25" s="9">
        <v>26314</v>
      </c>
      <c r="F25" s="9">
        <v>26358</v>
      </c>
      <c r="G25" s="9">
        <v>26402</v>
      </c>
      <c r="H25" s="9">
        <v>26446</v>
      </c>
      <c r="I25" s="9">
        <v>26490</v>
      </c>
      <c r="J25" s="9">
        <v>26534</v>
      </c>
    </row>
    <row r="26" spans="1:10" x14ac:dyDescent="0.3">
      <c r="A26" s="16"/>
      <c r="B26" s="51" t="s">
        <v>240</v>
      </c>
      <c r="C26" s="6">
        <v>26782</v>
      </c>
      <c r="D26" s="6">
        <v>27065</v>
      </c>
      <c r="E26" s="9">
        <v>27473</v>
      </c>
      <c r="F26" s="9">
        <v>27519</v>
      </c>
      <c r="G26" s="9">
        <v>27565</v>
      </c>
      <c r="H26" s="9">
        <v>27611</v>
      </c>
      <c r="I26" s="9">
        <v>27657</v>
      </c>
      <c r="J26" s="9">
        <v>27703</v>
      </c>
    </row>
    <row r="27" spans="1:10" x14ac:dyDescent="0.3">
      <c r="A27" s="16"/>
      <c r="B27" s="52" t="s">
        <v>241</v>
      </c>
      <c r="C27" s="6">
        <v>51878</v>
      </c>
      <c r="D27" s="6">
        <v>52988</v>
      </c>
      <c r="E27" s="9">
        <v>53787</v>
      </c>
      <c r="F27" s="9">
        <v>53877</v>
      </c>
      <c r="G27" s="9">
        <v>53967</v>
      </c>
      <c r="H27" s="9">
        <v>54057</v>
      </c>
      <c r="I27" s="9">
        <v>54147</v>
      </c>
      <c r="J27" s="9">
        <v>54237</v>
      </c>
    </row>
    <row r="28" spans="1:10" x14ac:dyDescent="0.3">
      <c r="A28" s="17" t="s">
        <v>48</v>
      </c>
      <c r="B28" s="50" t="s">
        <v>239</v>
      </c>
      <c r="C28" s="6">
        <v>52038</v>
      </c>
      <c r="D28" s="6">
        <v>39922</v>
      </c>
      <c r="E28" s="9">
        <v>31347</v>
      </c>
      <c r="F28" s="9">
        <v>30516</v>
      </c>
      <c r="G28" s="9">
        <v>29707</v>
      </c>
      <c r="H28" s="9">
        <v>28919</v>
      </c>
      <c r="I28" s="9">
        <v>28152</v>
      </c>
      <c r="J28" s="9">
        <v>27406</v>
      </c>
    </row>
    <row r="29" spans="1:10" x14ac:dyDescent="0.3">
      <c r="A29" s="17"/>
      <c r="B29" s="51" t="s">
        <v>240</v>
      </c>
      <c r="C29" s="6">
        <v>52863</v>
      </c>
      <c r="D29" s="6">
        <v>41481</v>
      </c>
      <c r="E29" s="9">
        <v>32571</v>
      </c>
      <c r="F29" s="9">
        <v>31708</v>
      </c>
      <c r="G29" s="9">
        <v>30867</v>
      </c>
      <c r="H29" s="9">
        <v>30049</v>
      </c>
      <c r="I29" s="9">
        <v>29252</v>
      </c>
      <c r="J29" s="9">
        <v>28477</v>
      </c>
    </row>
    <row r="30" spans="1:10" x14ac:dyDescent="0.3">
      <c r="A30" s="17"/>
      <c r="B30" s="52" t="s">
        <v>241</v>
      </c>
      <c r="C30" s="6">
        <v>104901</v>
      </c>
      <c r="D30" s="6">
        <v>81403</v>
      </c>
      <c r="E30" s="9">
        <v>63918</v>
      </c>
      <c r="F30" s="9">
        <v>62224</v>
      </c>
      <c r="G30" s="9">
        <v>60574</v>
      </c>
      <c r="H30" s="9">
        <v>58968</v>
      </c>
      <c r="I30" s="9">
        <v>57404</v>
      </c>
      <c r="J30" s="9">
        <v>55883</v>
      </c>
    </row>
  </sheetData>
  <mergeCells count="3">
    <mergeCell ref="A1:K1"/>
    <mergeCell ref="A2:A3"/>
    <mergeCell ref="B2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096D4-FD4F-439D-A83C-F78254C5CBC4}">
  <sheetPr>
    <tabColor theme="5" tint="0.59999389629810485"/>
  </sheetPr>
  <dimension ref="A1:J11"/>
  <sheetViews>
    <sheetView zoomScaleNormal="100" workbookViewId="0">
      <selection activeCell="H20" sqref="H20"/>
    </sheetView>
  </sheetViews>
  <sheetFormatPr baseColWidth="10" defaultColWidth="8.6640625" defaultRowHeight="14.4" x14ac:dyDescent="0.3"/>
  <cols>
    <col min="1" max="1" width="16" style="2" customWidth="1"/>
    <col min="2" max="10" width="13" style="2" customWidth="1"/>
    <col min="11" max="16384" width="8.6640625" style="2"/>
  </cols>
  <sheetData>
    <row r="1" spans="1:10" ht="21.75" customHeight="1" x14ac:dyDescent="0.3">
      <c r="A1" s="76" t="s">
        <v>49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24" x14ac:dyDescent="0.3">
      <c r="A2" s="19" t="s">
        <v>0</v>
      </c>
      <c r="B2" s="19" t="s">
        <v>38</v>
      </c>
      <c r="C2" s="19" t="s">
        <v>50</v>
      </c>
      <c r="D2" s="19" t="s">
        <v>51</v>
      </c>
      <c r="E2" s="19" t="s">
        <v>52</v>
      </c>
      <c r="F2" s="19" t="s">
        <v>53</v>
      </c>
      <c r="G2" s="19" t="s">
        <v>36</v>
      </c>
      <c r="H2" s="19" t="s">
        <v>37</v>
      </c>
      <c r="I2" s="19" t="s">
        <v>54</v>
      </c>
      <c r="J2" s="19" t="s">
        <v>55</v>
      </c>
    </row>
    <row r="3" spans="1:10" x14ac:dyDescent="0.3">
      <c r="A3" s="20" t="s">
        <v>5</v>
      </c>
      <c r="B3" s="21">
        <v>62</v>
      </c>
      <c r="C3" s="22">
        <v>11</v>
      </c>
      <c r="D3" s="23">
        <v>11</v>
      </c>
      <c r="E3" s="24">
        <v>34</v>
      </c>
      <c r="F3" s="25">
        <v>6</v>
      </c>
      <c r="G3" s="22">
        <v>35</v>
      </c>
      <c r="H3" s="26">
        <v>27</v>
      </c>
      <c r="I3" s="23">
        <v>19</v>
      </c>
      <c r="J3" s="25">
        <v>43</v>
      </c>
    </row>
    <row r="4" spans="1:10" x14ac:dyDescent="0.3">
      <c r="A4" s="27" t="s">
        <v>16</v>
      </c>
      <c r="B4" s="21">
        <v>9</v>
      </c>
      <c r="C4" s="22">
        <v>1</v>
      </c>
      <c r="D4" s="23">
        <v>2</v>
      </c>
      <c r="E4" s="24">
        <v>5</v>
      </c>
      <c r="F4" s="25">
        <v>1</v>
      </c>
      <c r="G4" s="22">
        <v>7</v>
      </c>
      <c r="H4" s="26">
        <v>2</v>
      </c>
      <c r="I4" s="23">
        <v>6</v>
      </c>
      <c r="J4" s="25">
        <v>3</v>
      </c>
    </row>
    <row r="5" spans="1:10" x14ac:dyDescent="0.3">
      <c r="A5" s="28" t="s">
        <v>19</v>
      </c>
      <c r="B5" s="21">
        <v>7</v>
      </c>
      <c r="C5" s="22">
        <v>1</v>
      </c>
      <c r="D5" s="23">
        <v>2</v>
      </c>
      <c r="E5" s="24">
        <v>4</v>
      </c>
      <c r="F5" s="29">
        <v>0</v>
      </c>
      <c r="G5" s="22">
        <v>5</v>
      </c>
      <c r="H5" s="26">
        <v>2</v>
      </c>
      <c r="I5" s="23">
        <v>5</v>
      </c>
      <c r="J5" s="25">
        <v>2</v>
      </c>
    </row>
    <row r="6" spans="1:10" x14ac:dyDescent="0.3">
      <c r="A6" s="30" t="s">
        <v>17</v>
      </c>
      <c r="B6" s="21">
        <v>5</v>
      </c>
      <c r="C6" s="22">
        <v>1</v>
      </c>
      <c r="D6" s="23">
        <v>1</v>
      </c>
      <c r="E6" s="24">
        <v>3</v>
      </c>
      <c r="F6" s="29">
        <v>0</v>
      </c>
      <c r="G6" s="22">
        <v>5</v>
      </c>
      <c r="H6" s="26">
        <v>0</v>
      </c>
      <c r="I6" s="23">
        <v>3</v>
      </c>
      <c r="J6" s="25">
        <v>2</v>
      </c>
    </row>
    <row r="7" spans="1:10" x14ac:dyDescent="0.3">
      <c r="A7" s="31" t="s">
        <v>45</v>
      </c>
      <c r="B7" s="21">
        <v>4</v>
      </c>
      <c r="C7" s="22">
        <v>1</v>
      </c>
      <c r="D7" s="23">
        <v>1</v>
      </c>
      <c r="E7" s="24">
        <v>2</v>
      </c>
      <c r="F7" s="29">
        <v>0</v>
      </c>
      <c r="G7" s="22">
        <v>3</v>
      </c>
      <c r="H7" s="26">
        <v>1</v>
      </c>
      <c r="I7" s="23">
        <v>1</v>
      </c>
      <c r="J7" s="25">
        <v>3</v>
      </c>
    </row>
    <row r="8" spans="1:10" x14ac:dyDescent="0.3">
      <c r="A8" s="32" t="s">
        <v>47</v>
      </c>
      <c r="B8" s="21">
        <v>4</v>
      </c>
      <c r="C8" s="22">
        <v>1</v>
      </c>
      <c r="D8" s="23">
        <v>1</v>
      </c>
      <c r="E8" s="24">
        <v>2</v>
      </c>
      <c r="F8" s="29">
        <v>0</v>
      </c>
      <c r="G8" s="22">
        <v>1</v>
      </c>
      <c r="H8" s="26">
        <v>3</v>
      </c>
      <c r="I8" s="23">
        <v>3</v>
      </c>
      <c r="J8" s="25">
        <v>1</v>
      </c>
    </row>
    <row r="9" spans="1:10" x14ac:dyDescent="0.3">
      <c r="A9" s="33" t="s">
        <v>56</v>
      </c>
      <c r="B9" s="21">
        <v>4</v>
      </c>
      <c r="C9" s="22">
        <v>1</v>
      </c>
      <c r="D9" s="23">
        <v>1</v>
      </c>
      <c r="E9" s="24">
        <v>2</v>
      </c>
      <c r="F9" s="29">
        <v>0</v>
      </c>
      <c r="G9" s="22">
        <v>4</v>
      </c>
      <c r="H9" s="26">
        <v>0</v>
      </c>
      <c r="I9" s="23">
        <v>2</v>
      </c>
      <c r="J9" s="25">
        <v>2</v>
      </c>
    </row>
    <row r="10" spans="1:10" x14ac:dyDescent="0.3">
      <c r="A10" s="34" t="s">
        <v>48</v>
      </c>
      <c r="B10" s="21">
        <v>6</v>
      </c>
      <c r="C10" s="22">
        <v>3</v>
      </c>
      <c r="D10" s="23">
        <v>1</v>
      </c>
      <c r="E10" s="24">
        <v>2</v>
      </c>
      <c r="F10" s="29">
        <v>0</v>
      </c>
      <c r="G10" s="22">
        <v>5</v>
      </c>
      <c r="H10" s="26">
        <v>1</v>
      </c>
      <c r="I10" s="23">
        <v>1</v>
      </c>
      <c r="J10" s="25">
        <v>5</v>
      </c>
    </row>
    <row r="11" spans="1:10" x14ac:dyDescent="0.3">
      <c r="A11" s="20" t="s">
        <v>57</v>
      </c>
      <c r="B11" s="35">
        <v>101</v>
      </c>
      <c r="C11" s="35">
        <v>20</v>
      </c>
      <c r="D11" s="35">
        <v>20</v>
      </c>
      <c r="E11" s="35">
        <v>54</v>
      </c>
      <c r="F11" s="35">
        <v>7</v>
      </c>
      <c r="G11" s="35">
        <v>65</v>
      </c>
      <c r="H11" s="35">
        <v>36</v>
      </c>
      <c r="I11" s="35">
        <v>40</v>
      </c>
      <c r="J11" s="35">
        <v>61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DF-C415-425C-A86C-4DFC31A6573D}">
  <sheetPr>
    <tabColor theme="5" tint="0.59999389629810485"/>
  </sheetPr>
  <dimension ref="A1:H111"/>
  <sheetViews>
    <sheetView topLeftCell="A80" zoomScaleNormal="100" workbookViewId="0">
      <selection activeCell="H20" sqref="H20"/>
    </sheetView>
  </sheetViews>
  <sheetFormatPr baseColWidth="10" defaultColWidth="8.6640625" defaultRowHeight="14.4" x14ac:dyDescent="0.3"/>
  <cols>
    <col min="1" max="1" width="14" style="2" customWidth="1"/>
    <col min="2" max="2" width="8" style="2" customWidth="1"/>
    <col min="3" max="3" width="24" style="2" customWidth="1"/>
    <col min="4" max="4" width="6" style="2" customWidth="1"/>
    <col min="5" max="5" width="20" style="2" customWidth="1"/>
    <col min="6" max="6" width="38" style="2" customWidth="1"/>
    <col min="7" max="7" width="8" style="2" customWidth="1"/>
    <col min="8" max="8" width="16" style="2" customWidth="1"/>
    <col min="9" max="16384" width="8.6640625" style="2"/>
  </cols>
  <sheetData>
    <row r="1" spans="1:8" ht="21.75" customHeight="1" x14ac:dyDescent="0.3">
      <c r="A1" s="76" t="s">
        <v>58</v>
      </c>
      <c r="B1" s="76"/>
      <c r="C1" s="76"/>
      <c r="D1" s="76"/>
      <c r="E1" s="76"/>
      <c r="F1" s="76"/>
      <c r="G1" s="76"/>
      <c r="H1" s="76"/>
    </row>
    <row r="2" spans="1:8" x14ac:dyDescent="0.3">
      <c r="A2" s="19" t="s">
        <v>0</v>
      </c>
      <c r="B2" s="19" t="s">
        <v>59</v>
      </c>
      <c r="C2" s="19" t="s">
        <v>60</v>
      </c>
      <c r="D2" s="19" t="s">
        <v>61</v>
      </c>
      <c r="E2" s="19" t="s">
        <v>62</v>
      </c>
      <c r="F2" s="19" t="s">
        <v>63</v>
      </c>
      <c r="G2" s="19" t="s">
        <v>64</v>
      </c>
      <c r="H2" s="19" t="s">
        <v>65</v>
      </c>
    </row>
    <row r="3" spans="1:8" ht="18" customHeight="1" x14ac:dyDescent="0.3">
      <c r="A3" s="80" t="s">
        <v>66</v>
      </c>
      <c r="B3" s="80"/>
      <c r="C3" s="80"/>
      <c r="D3" s="80"/>
      <c r="E3" s="80"/>
      <c r="F3" s="80"/>
      <c r="G3" s="80"/>
      <c r="H3" s="80"/>
    </row>
    <row r="4" spans="1:8" x14ac:dyDescent="0.3">
      <c r="A4" s="29"/>
      <c r="B4" s="36" t="s">
        <v>53</v>
      </c>
      <c r="C4" s="37" t="s">
        <v>28</v>
      </c>
      <c r="D4" s="29"/>
      <c r="E4" s="37" t="s">
        <v>5</v>
      </c>
      <c r="F4" s="37" t="s">
        <v>67</v>
      </c>
      <c r="G4" s="22" t="s">
        <v>68</v>
      </c>
      <c r="H4" s="23" t="s">
        <v>69</v>
      </c>
    </row>
    <row r="5" spans="1:8" x14ac:dyDescent="0.3">
      <c r="A5" s="29"/>
      <c r="B5" s="36" t="s">
        <v>53</v>
      </c>
      <c r="C5" s="37" t="s">
        <v>30</v>
      </c>
      <c r="D5" s="29" t="s">
        <v>70</v>
      </c>
      <c r="E5" s="37" t="s">
        <v>5</v>
      </c>
      <c r="F5" s="37" t="s">
        <v>71</v>
      </c>
      <c r="G5" s="22" t="s">
        <v>68</v>
      </c>
      <c r="H5" s="23" t="s">
        <v>69</v>
      </c>
    </row>
    <row r="6" spans="1:8" x14ac:dyDescent="0.3">
      <c r="A6" s="29"/>
      <c r="B6" s="36" t="s">
        <v>53</v>
      </c>
      <c r="C6" s="37" t="s">
        <v>30</v>
      </c>
      <c r="D6" s="29" t="s">
        <v>72</v>
      </c>
      <c r="E6" s="37" t="s">
        <v>5</v>
      </c>
      <c r="F6" s="37" t="s">
        <v>73</v>
      </c>
      <c r="G6" s="22" t="s">
        <v>68</v>
      </c>
      <c r="H6" s="23" t="s">
        <v>69</v>
      </c>
    </row>
    <row r="7" spans="1:8" x14ac:dyDescent="0.3">
      <c r="A7" s="29"/>
      <c r="B7" s="36" t="s">
        <v>53</v>
      </c>
      <c r="C7" s="37" t="s">
        <v>74</v>
      </c>
      <c r="D7" s="29" t="s">
        <v>70</v>
      </c>
      <c r="E7" s="37" t="s">
        <v>5</v>
      </c>
      <c r="F7" s="37" t="s">
        <v>75</v>
      </c>
      <c r="G7" s="22" t="s">
        <v>68</v>
      </c>
      <c r="H7" s="23" t="s">
        <v>69</v>
      </c>
    </row>
    <row r="8" spans="1:8" x14ac:dyDescent="0.3">
      <c r="A8" s="29"/>
      <c r="B8" s="36" t="s">
        <v>53</v>
      </c>
      <c r="C8" s="37" t="s">
        <v>74</v>
      </c>
      <c r="D8" s="29" t="s">
        <v>72</v>
      </c>
      <c r="E8" s="37" t="s">
        <v>5</v>
      </c>
      <c r="F8" s="37" t="s">
        <v>76</v>
      </c>
      <c r="G8" s="22" t="s">
        <v>68</v>
      </c>
      <c r="H8" s="25" t="s">
        <v>77</v>
      </c>
    </row>
    <row r="9" spans="1:8" x14ac:dyDescent="0.3">
      <c r="A9" s="29"/>
      <c r="B9" s="36" t="s">
        <v>53</v>
      </c>
      <c r="C9" s="37" t="s">
        <v>78</v>
      </c>
      <c r="D9" s="29"/>
      <c r="E9" s="37" t="s">
        <v>5</v>
      </c>
      <c r="F9" s="37" t="s">
        <v>79</v>
      </c>
      <c r="G9" s="22" t="s">
        <v>68</v>
      </c>
      <c r="H9" s="23" t="s">
        <v>69</v>
      </c>
    </row>
    <row r="10" spans="1:8" x14ac:dyDescent="0.3">
      <c r="A10" s="29"/>
      <c r="B10" s="38" t="s">
        <v>52</v>
      </c>
      <c r="C10" s="37" t="s">
        <v>28</v>
      </c>
      <c r="D10" s="29" t="s">
        <v>70</v>
      </c>
      <c r="E10" s="37" t="s">
        <v>5</v>
      </c>
      <c r="F10" s="37" t="s">
        <v>80</v>
      </c>
      <c r="G10" s="22" t="s">
        <v>68</v>
      </c>
      <c r="H10" s="23" t="s">
        <v>69</v>
      </c>
    </row>
    <row r="11" spans="1:8" x14ac:dyDescent="0.3">
      <c r="A11" s="29"/>
      <c r="B11" s="38" t="s">
        <v>52</v>
      </c>
      <c r="C11" s="37" t="s">
        <v>28</v>
      </c>
      <c r="D11" s="29" t="s">
        <v>72</v>
      </c>
      <c r="E11" s="37" t="s">
        <v>5</v>
      </c>
      <c r="F11" s="37" t="s">
        <v>81</v>
      </c>
      <c r="G11" s="22" t="s">
        <v>68</v>
      </c>
      <c r="H11" s="23" t="s">
        <v>69</v>
      </c>
    </row>
    <row r="12" spans="1:8" x14ac:dyDescent="0.3">
      <c r="A12" s="29"/>
      <c r="B12" s="38" t="s">
        <v>52</v>
      </c>
      <c r="C12" s="37" t="s">
        <v>28</v>
      </c>
      <c r="D12" s="29" t="s">
        <v>82</v>
      </c>
      <c r="E12" s="37" t="s">
        <v>5</v>
      </c>
      <c r="F12" s="37" t="s">
        <v>83</v>
      </c>
      <c r="G12" s="26" t="s">
        <v>84</v>
      </c>
      <c r="H12" s="23" t="s">
        <v>69</v>
      </c>
    </row>
    <row r="13" spans="1:8" x14ac:dyDescent="0.3">
      <c r="A13" s="29"/>
      <c r="B13" s="38" t="s">
        <v>52</v>
      </c>
      <c r="C13" s="37" t="s">
        <v>28</v>
      </c>
      <c r="D13" s="29" t="s">
        <v>85</v>
      </c>
      <c r="E13" s="37" t="s">
        <v>5</v>
      </c>
      <c r="F13" s="37" t="s">
        <v>86</v>
      </c>
      <c r="G13" s="22" t="s">
        <v>68</v>
      </c>
      <c r="H13" s="39" t="s">
        <v>87</v>
      </c>
    </row>
    <row r="14" spans="1:8" x14ac:dyDescent="0.3">
      <c r="A14" s="29"/>
      <c r="B14" s="38" t="s">
        <v>52</v>
      </c>
      <c r="C14" s="37" t="s">
        <v>28</v>
      </c>
      <c r="D14" s="29" t="s">
        <v>88</v>
      </c>
      <c r="E14" s="37" t="s">
        <v>5</v>
      </c>
      <c r="F14" s="37" t="s">
        <v>89</v>
      </c>
      <c r="G14" s="22" t="s">
        <v>68</v>
      </c>
      <c r="H14" s="39" t="s">
        <v>87</v>
      </c>
    </row>
    <row r="15" spans="1:8" x14ac:dyDescent="0.3">
      <c r="A15" s="29"/>
      <c r="B15" s="38" t="s">
        <v>52</v>
      </c>
      <c r="C15" s="37" t="s">
        <v>90</v>
      </c>
      <c r="D15" s="29"/>
      <c r="E15" s="37" t="s">
        <v>5</v>
      </c>
      <c r="F15" s="37" t="s">
        <v>91</v>
      </c>
      <c r="G15" s="22" t="s">
        <v>68</v>
      </c>
      <c r="H15" s="39" t="s">
        <v>87</v>
      </c>
    </row>
    <row r="16" spans="1:8" x14ac:dyDescent="0.3">
      <c r="A16" s="29"/>
      <c r="B16" s="38" t="s">
        <v>52</v>
      </c>
      <c r="C16" s="37" t="s">
        <v>32</v>
      </c>
      <c r="D16" s="29"/>
      <c r="E16" s="37" t="s">
        <v>5</v>
      </c>
      <c r="F16" s="37" t="s">
        <v>92</v>
      </c>
      <c r="G16" s="26" t="s">
        <v>84</v>
      </c>
      <c r="H16" s="39" t="s">
        <v>87</v>
      </c>
    </row>
    <row r="17" spans="1:8" x14ac:dyDescent="0.3">
      <c r="A17" s="29"/>
      <c r="B17" s="38" t="s">
        <v>52</v>
      </c>
      <c r="C17" s="37" t="s">
        <v>29</v>
      </c>
      <c r="D17" s="29" t="s">
        <v>70</v>
      </c>
      <c r="E17" s="37" t="s">
        <v>5</v>
      </c>
      <c r="F17" s="37" t="s">
        <v>93</v>
      </c>
      <c r="G17" s="26" t="s">
        <v>84</v>
      </c>
      <c r="H17" s="39" t="s">
        <v>87</v>
      </c>
    </row>
    <row r="18" spans="1:8" x14ac:dyDescent="0.3">
      <c r="A18" s="29"/>
      <c r="B18" s="38" t="s">
        <v>52</v>
      </c>
      <c r="C18" s="37" t="s">
        <v>29</v>
      </c>
      <c r="D18" s="29" t="s">
        <v>72</v>
      </c>
      <c r="E18" s="37" t="s">
        <v>5</v>
      </c>
      <c r="F18" s="37" t="s">
        <v>94</v>
      </c>
      <c r="G18" s="26" t="s">
        <v>84</v>
      </c>
      <c r="H18" s="25" t="s">
        <v>77</v>
      </c>
    </row>
    <row r="19" spans="1:8" x14ac:dyDescent="0.3">
      <c r="A19" s="29"/>
      <c r="B19" s="38" t="s">
        <v>52</v>
      </c>
      <c r="C19" s="37" t="s">
        <v>29</v>
      </c>
      <c r="D19" s="29" t="s">
        <v>82</v>
      </c>
      <c r="E19" s="37" t="s">
        <v>5</v>
      </c>
      <c r="F19" s="37" t="s">
        <v>95</v>
      </c>
      <c r="G19" s="22" t="s">
        <v>68</v>
      </c>
      <c r="H19" s="39" t="s">
        <v>87</v>
      </c>
    </row>
    <row r="20" spans="1:8" x14ac:dyDescent="0.3">
      <c r="A20" s="29"/>
      <c r="B20" s="38" t="s">
        <v>52</v>
      </c>
      <c r="C20" s="37" t="s">
        <v>29</v>
      </c>
      <c r="D20" s="29" t="s">
        <v>85</v>
      </c>
      <c r="E20" s="37" t="s">
        <v>5</v>
      </c>
      <c r="F20" s="37" t="s">
        <v>96</v>
      </c>
      <c r="G20" s="26" t="s">
        <v>84</v>
      </c>
      <c r="H20" s="25" t="s">
        <v>77</v>
      </c>
    </row>
    <row r="21" spans="1:8" x14ac:dyDescent="0.3">
      <c r="A21" s="29"/>
      <c r="B21" s="38" t="s">
        <v>52</v>
      </c>
      <c r="C21" s="37" t="s">
        <v>97</v>
      </c>
      <c r="D21" s="29" t="s">
        <v>98</v>
      </c>
      <c r="E21" s="37" t="s">
        <v>5</v>
      </c>
      <c r="F21" s="37" t="s">
        <v>99</v>
      </c>
      <c r="G21" s="22" t="s">
        <v>68</v>
      </c>
      <c r="H21" s="25" t="s">
        <v>77</v>
      </c>
    </row>
    <row r="22" spans="1:8" x14ac:dyDescent="0.3">
      <c r="A22" s="29"/>
      <c r="B22" s="38" t="s">
        <v>52</v>
      </c>
      <c r="C22" s="37" t="s">
        <v>97</v>
      </c>
      <c r="D22" s="29" t="s">
        <v>88</v>
      </c>
      <c r="E22" s="37" t="s">
        <v>5</v>
      </c>
      <c r="F22" s="37" t="s">
        <v>100</v>
      </c>
      <c r="G22" s="22" t="s">
        <v>68</v>
      </c>
      <c r="H22" s="25" t="s">
        <v>77</v>
      </c>
    </row>
    <row r="23" spans="1:8" x14ac:dyDescent="0.3">
      <c r="A23" s="29"/>
      <c r="B23" s="38" t="s">
        <v>52</v>
      </c>
      <c r="C23" s="37" t="s">
        <v>97</v>
      </c>
      <c r="D23" s="29" t="s">
        <v>101</v>
      </c>
      <c r="E23" s="37" t="s">
        <v>5</v>
      </c>
      <c r="F23" s="37" t="s">
        <v>102</v>
      </c>
      <c r="G23" s="26" t="s">
        <v>84</v>
      </c>
      <c r="H23" s="25" t="s">
        <v>77</v>
      </c>
    </row>
    <row r="24" spans="1:8" x14ac:dyDescent="0.3">
      <c r="A24" s="29"/>
      <c r="B24" s="38" t="s">
        <v>52</v>
      </c>
      <c r="C24" s="37" t="s">
        <v>97</v>
      </c>
      <c r="D24" s="29" t="s">
        <v>103</v>
      </c>
      <c r="E24" s="37" t="s">
        <v>5</v>
      </c>
      <c r="F24" s="37" t="s">
        <v>104</v>
      </c>
      <c r="G24" s="26" t="s">
        <v>84</v>
      </c>
      <c r="H24" s="25" t="s">
        <v>77</v>
      </c>
    </row>
    <row r="25" spans="1:8" x14ac:dyDescent="0.3">
      <c r="A25" s="29"/>
      <c r="B25" s="38" t="s">
        <v>52</v>
      </c>
      <c r="C25" s="37" t="s">
        <v>97</v>
      </c>
      <c r="D25" s="29" t="s">
        <v>105</v>
      </c>
      <c r="E25" s="37" t="s">
        <v>5</v>
      </c>
      <c r="F25" s="37" t="s">
        <v>106</v>
      </c>
      <c r="G25" s="22" t="s">
        <v>68</v>
      </c>
      <c r="H25" s="25" t="s">
        <v>77</v>
      </c>
    </row>
    <row r="26" spans="1:8" x14ac:dyDescent="0.3">
      <c r="A26" s="29"/>
      <c r="B26" s="38" t="s">
        <v>52</v>
      </c>
      <c r="C26" s="37" t="s">
        <v>97</v>
      </c>
      <c r="D26" s="29" t="s">
        <v>107</v>
      </c>
      <c r="E26" s="37" t="s">
        <v>5</v>
      </c>
      <c r="F26" s="37" t="s">
        <v>108</v>
      </c>
      <c r="G26" s="26" t="s">
        <v>84</v>
      </c>
      <c r="H26" s="39" t="s">
        <v>87</v>
      </c>
    </row>
    <row r="27" spans="1:8" x14ac:dyDescent="0.3">
      <c r="A27" s="29"/>
      <c r="B27" s="38" t="s">
        <v>52</v>
      </c>
      <c r="C27" s="37" t="s">
        <v>109</v>
      </c>
      <c r="D27" s="29"/>
      <c r="E27" s="37" t="s">
        <v>5</v>
      </c>
      <c r="F27" s="37" t="s">
        <v>110</v>
      </c>
      <c r="G27" s="22" t="s">
        <v>68</v>
      </c>
      <c r="H27" s="23" t="s">
        <v>69</v>
      </c>
    </row>
    <row r="28" spans="1:8" x14ac:dyDescent="0.3">
      <c r="A28" s="29"/>
      <c r="B28" s="38" t="s">
        <v>52</v>
      </c>
      <c r="C28" s="37" t="s">
        <v>111</v>
      </c>
      <c r="D28" s="29" t="s">
        <v>70</v>
      </c>
      <c r="E28" s="37" t="s">
        <v>5</v>
      </c>
      <c r="F28" s="37" t="s">
        <v>112</v>
      </c>
      <c r="G28" s="26" t="s">
        <v>84</v>
      </c>
      <c r="H28" s="39" t="s">
        <v>87</v>
      </c>
    </row>
    <row r="29" spans="1:8" x14ac:dyDescent="0.3">
      <c r="A29" s="29"/>
      <c r="B29" s="38" t="s">
        <v>52</v>
      </c>
      <c r="C29" s="37" t="s">
        <v>111</v>
      </c>
      <c r="D29" s="29" t="s">
        <v>72</v>
      </c>
      <c r="E29" s="37" t="s">
        <v>5</v>
      </c>
      <c r="F29" s="37" t="s">
        <v>113</v>
      </c>
      <c r="G29" s="22" t="s">
        <v>68</v>
      </c>
      <c r="H29" s="39" t="s">
        <v>87</v>
      </c>
    </row>
    <row r="30" spans="1:8" ht="22.8" x14ac:dyDescent="0.3">
      <c r="A30" s="29"/>
      <c r="B30" s="38" t="s">
        <v>52</v>
      </c>
      <c r="C30" s="37" t="s">
        <v>114</v>
      </c>
      <c r="D30" s="29" t="s">
        <v>88</v>
      </c>
      <c r="E30" s="37" t="s">
        <v>5</v>
      </c>
      <c r="F30" s="37" t="s">
        <v>115</v>
      </c>
      <c r="G30" s="26" t="s">
        <v>84</v>
      </c>
      <c r="H30" s="39" t="s">
        <v>87</v>
      </c>
    </row>
    <row r="31" spans="1:8" x14ac:dyDescent="0.3">
      <c r="A31" s="29"/>
      <c r="B31" s="38" t="s">
        <v>52</v>
      </c>
      <c r="C31" s="37" t="s">
        <v>114</v>
      </c>
      <c r="D31" s="29" t="s">
        <v>101</v>
      </c>
      <c r="E31" s="37" t="s">
        <v>5</v>
      </c>
      <c r="F31" s="37" t="s">
        <v>116</v>
      </c>
      <c r="G31" s="22" t="s">
        <v>68</v>
      </c>
      <c r="H31" s="23" t="s">
        <v>69</v>
      </c>
    </row>
    <row r="32" spans="1:8" x14ac:dyDescent="0.3">
      <c r="A32" s="29"/>
      <c r="B32" s="38" t="s">
        <v>52</v>
      </c>
      <c r="C32" s="37" t="s">
        <v>117</v>
      </c>
      <c r="D32" s="29" t="s">
        <v>70</v>
      </c>
      <c r="E32" s="37" t="s">
        <v>5</v>
      </c>
      <c r="F32" s="37" t="s">
        <v>118</v>
      </c>
      <c r="G32" s="26" t="s">
        <v>84</v>
      </c>
      <c r="H32" s="39" t="s">
        <v>87</v>
      </c>
    </row>
    <row r="33" spans="1:8" x14ac:dyDescent="0.3">
      <c r="A33" s="29"/>
      <c r="B33" s="38" t="s">
        <v>52</v>
      </c>
      <c r="C33" s="37" t="s">
        <v>117</v>
      </c>
      <c r="D33" s="29" t="s">
        <v>72</v>
      </c>
      <c r="E33" s="37" t="s">
        <v>5</v>
      </c>
      <c r="F33" s="37" t="s">
        <v>119</v>
      </c>
      <c r="G33" s="26" t="s">
        <v>84</v>
      </c>
      <c r="H33" s="39" t="s">
        <v>87</v>
      </c>
    </row>
    <row r="34" spans="1:8" x14ac:dyDescent="0.3">
      <c r="A34" s="29"/>
      <c r="B34" s="38" t="s">
        <v>52</v>
      </c>
      <c r="C34" s="37" t="s">
        <v>117</v>
      </c>
      <c r="D34" s="29" t="s">
        <v>82</v>
      </c>
      <c r="E34" s="37" t="s">
        <v>5</v>
      </c>
      <c r="F34" s="37" t="s">
        <v>120</v>
      </c>
      <c r="G34" s="22" t="s">
        <v>68</v>
      </c>
      <c r="H34" s="39" t="s">
        <v>87</v>
      </c>
    </row>
    <row r="35" spans="1:8" x14ac:dyDescent="0.3">
      <c r="A35" s="29"/>
      <c r="B35" s="38" t="s">
        <v>52</v>
      </c>
      <c r="C35" s="37" t="s">
        <v>121</v>
      </c>
      <c r="D35" s="29" t="s">
        <v>70</v>
      </c>
      <c r="E35" s="37" t="s">
        <v>5</v>
      </c>
      <c r="F35" s="37" t="s">
        <v>122</v>
      </c>
      <c r="G35" s="22" t="s">
        <v>68</v>
      </c>
      <c r="H35" s="23" t="s">
        <v>69</v>
      </c>
    </row>
    <row r="36" spans="1:8" x14ac:dyDescent="0.3">
      <c r="A36" s="29"/>
      <c r="B36" s="38" t="s">
        <v>52</v>
      </c>
      <c r="C36" s="37" t="s">
        <v>121</v>
      </c>
      <c r="D36" s="29" t="s">
        <v>72</v>
      </c>
      <c r="E36" s="37" t="s">
        <v>5</v>
      </c>
      <c r="F36" s="37" t="s">
        <v>123</v>
      </c>
      <c r="G36" s="22" t="s">
        <v>68</v>
      </c>
      <c r="H36" s="39" t="s">
        <v>87</v>
      </c>
    </row>
    <row r="37" spans="1:8" x14ac:dyDescent="0.3">
      <c r="A37" s="29"/>
      <c r="B37" s="38" t="s">
        <v>52</v>
      </c>
      <c r="C37" s="37" t="s">
        <v>121</v>
      </c>
      <c r="D37" s="29" t="s">
        <v>82</v>
      </c>
      <c r="E37" s="37" t="s">
        <v>5</v>
      </c>
      <c r="F37" s="37" t="s">
        <v>124</v>
      </c>
      <c r="G37" s="22" t="s">
        <v>68</v>
      </c>
      <c r="H37" s="23" t="s">
        <v>69</v>
      </c>
    </row>
    <row r="38" spans="1:8" x14ac:dyDescent="0.3">
      <c r="A38" s="29"/>
      <c r="B38" s="38" t="s">
        <v>52</v>
      </c>
      <c r="C38" s="37" t="s">
        <v>121</v>
      </c>
      <c r="D38" s="29" t="s">
        <v>85</v>
      </c>
      <c r="E38" s="37" t="s">
        <v>5</v>
      </c>
      <c r="F38" s="37" t="s">
        <v>125</v>
      </c>
      <c r="G38" s="26" t="s">
        <v>84</v>
      </c>
      <c r="H38" s="39" t="s">
        <v>87</v>
      </c>
    </row>
    <row r="39" spans="1:8" x14ac:dyDescent="0.3">
      <c r="A39" s="29"/>
      <c r="B39" s="38" t="s">
        <v>52</v>
      </c>
      <c r="C39" s="37" t="s">
        <v>126</v>
      </c>
      <c r="D39" s="29" t="s">
        <v>70</v>
      </c>
      <c r="E39" s="37" t="s">
        <v>5</v>
      </c>
      <c r="F39" s="37" t="s">
        <v>127</v>
      </c>
      <c r="G39" s="22" t="s">
        <v>68</v>
      </c>
      <c r="H39" s="39" t="s">
        <v>87</v>
      </c>
    </row>
    <row r="40" spans="1:8" x14ac:dyDescent="0.3">
      <c r="A40" s="29"/>
      <c r="B40" s="38" t="s">
        <v>52</v>
      </c>
      <c r="C40" s="37" t="s">
        <v>126</v>
      </c>
      <c r="D40" s="29" t="s">
        <v>72</v>
      </c>
      <c r="E40" s="37" t="s">
        <v>5</v>
      </c>
      <c r="F40" s="37" t="s">
        <v>128</v>
      </c>
      <c r="G40" s="22" t="s">
        <v>68</v>
      </c>
      <c r="H40" s="23" t="s">
        <v>69</v>
      </c>
    </row>
    <row r="41" spans="1:8" x14ac:dyDescent="0.3">
      <c r="A41" s="29"/>
      <c r="B41" s="38" t="s">
        <v>52</v>
      </c>
      <c r="C41" s="37" t="s">
        <v>126</v>
      </c>
      <c r="D41" s="29" t="s">
        <v>82</v>
      </c>
      <c r="E41" s="37" t="s">
        <v>5</v>
      </c>
      <c r="F41" s="37" t="s">
        <v>129</v>
      </c>
      <c r="G41" s="26" t="s">
        <v>84</v>
      </c>
      <c r="H41" s="23" t="s">
        <v>69</v>
      </c>
    </row>
    <row r="42" spans="1:8" x14ac:dyDescent="0.3">
      <c r="A42" s="29"/>
      <c r="B42" s="38" t="s">
        <v>52</v>
      </c>
      <c r="C42" s="37" t="s">
        <v>126</v>
      </c>
      <c r="D42" s="29" t="s">
        <v>85</v>
      </c>
      <c r="E42" s="37" t="s">
        <v>5</v>
      </c>
      <c r="F42" s="37" t="s">
        <v>130</v>
      </c>
      <c r="G42" s="26" t="s">
        <v>84</v>
      </c>
      <c r="H42" s="25" t="s">
        <v>77</v>
      </c>
    </row>
    <row r="43" spans="1:8" x14ac:dyDescent="0.3">
      <c r="A43" s="29"/>
      <c r="B43" s="38" t="s">
        <v>52</v>
      </c>
      <c r="C43" s="37" t="s">
        <v>131</v>
      </c>
      <c r="D43" s="29"/>
      <c r="E43" s="37" t="s">
        <v>5</v>
      </c>
      <c r="F43" s="37" t="s">
        <v>132</v>
      </c>
      <c r="G43" s="22" t="s">
        <v>68</v>
      </c>
      <c r="H43" s="39" t="s">
        <v>87</v>
      </c>
    </row>
    <row r="44" spans="1:8" x14ac:dyDescent="0.3">
      <c r="A44" s="29"/>
      <c r="B44" s="40" t="s">
        <v>51</v>
      </c>
      <c r="C44" s="37" t="s">
        <v>133</v>
      </c>
      <c r="D44" s="29"/>
      <c r="E44" s="37" t="s">
        <v>5</v>
      </c>
      <c r="F44" s="37" t="s">
        <v>134</v>
      </c>
      <c r="G44" s="22" t="s">
        <v>68</v>
      </c>
      <c r="H44" s="25" t="s">
        <v>77</v>
      </c>
    </row>
    <row r="45" spans="1:8" x14ac:dyDescent="0.3">
      <c r="A45" s="29"/>
      <c r="B45" s="40" t="s">
        <v>51</v>
      </c>
      <c r="C45" s="37" t="s">
        <v>135</v>
      </c>
      <c r="D45" s="29" t="s">
        <v>88</v>
      </c>
      <c r="E45" s="37" t="s">
        <v>5</v>
      </c>
      <c r="F45" s="37" t="s">
        <v>136</v>
      </c>
      <c r="G45" s="26" t="s">
        <v>84</v>
      </c>
      <c r="H45" s="23" t="s">
        <v>69</v>
      </c>
    </row>
    <row r="46" spans="1:8" x14ac:dyDescent="0.3">
      <c r="A46" s="29"/>
      <c r="B46" s="40" t="s">
        <v>51</v>
      </c>
      <c r="C46" s="37" t="s">
        <v>135</v>
      </c>
      <c r="D46" s="29" t="s">
        <v>105</v>
      </c>
      <c r="E46" s="37" t="s">
        <v>5</v>
      </c>
      <c r="F46" s="37" t="s">
        <v>137</v>
      </c>
      <c r="G46" s="26" t="s">
        <v>84</v>
      </c>
      <c r="H46" s="39" t="s">
        <v>87</v>
      </c>
    </row>
    <row r="47" spans="1:8" x14ac:dyDescent="0.3">
      <c r="A47" s="29"/>
      <c r="B47" s="40" t="s">
        <v>51</v>
      </c>
      <c r="C47" s="37" t="s">
        <v>138</v>
      </c>
      <c r="D47" s="29" t="s">
        <v>82</v>
      </c>
      <c r="E47" s="37" t="s">
        <v>5</v>
      </c>
      <c r="F47" s="37" t="s">
        <v>139</v>
      </c>
      <c r="G47" s="26" t="s">
        <v>84</v>
      </c>
      <c r="H47" s="39" t="s">
        <v>87</v>
      </c>
    </row>
    <row r="48" spans="1:8" x14ac:dyDescent="0.3">
      <c r="A48" s="29"/>
      <c r="B48" s="40" t="s">
        <v>51</v>
      </c>
      <c r="C48" s="37" t="s">
        <v>138</v>
      </c>
      <c r="D48" s="29" t="s">
        <v>85</v>
      </c>
      <c r="E48" s="37" t="s">
        <v>5</v>
      </c>
      <c r="F48" s="37" t="s">
        <v>140</v>
      </c>
      <c r="G48" s="22" t="s">
        <v>68</v>
      </c>
      <c r="H48" s="23" t="s">
        <v>69</v>
      </c>
    </row>
    <row r="49" spans="1:8" x14ac:dyDescent="0.3">
      <c r="A49" s="29"/>
      <c r="B49" s="40" t="s">
        <v>51</v>
      </c>
      <c r="C49" s="37" t="s">
        <v>141</v>
      </c>
      <c r="D49" s="29" t="s">
        <v>70</v>
      </c>
      <c r="E49" s="37" t="s">
        <v>5</v>
      </c>
      <c r="F49" s="37" t="s">
        <v>142</v>
      </c>
      <c r="G49" s="22" t="s">
        <v>68</v>
      </c>
      <c r="H49" s="39" t="s">
        <v>87</v>
      </c>
    </row>
    <row r="50" spans="1:8" x14ac:dyDescent="0.3">
      <c r="A50" s="29"/>
      <c r="B50" s="40" t="s">
        <v>51</v>
      </c>
      <c r="C50" s="37" t="s">
        <v>141</v>
      </c>
      <c r="D50" s="29" t="s">
        <v>72</v>
      </c>
      <c r="E50" s="37" t="s">
        <v>5</v>
      </c>
      <c r="F50" s="37" t="s">
        <v>143</v>
      </c>
      <c r="G50" s="26" t="s">
        <v>84</v>
      </c>
      <c r="H50" s="39" t="s">
        <v>87</v>
      </c>
    </row>
    <row r="51" spans="1:8" x14ac:dyDescent="0.3">
      <c r="A51" s="29"/>
      <c r="B51" s="40" t="s">
        <v>51</v>
      </c>
      <c r="C51" s="37" t="s">
        <v>141</v>
      </c>
      <c r="D51" s="29" t="s">
        <v>82</v>
      </c>
      <c r="E51" s="37" t="s">
        <v>5</v>
      </c>
      <c r="F51" s="37" t="s">
        <v>144</v>
      </c>
      <c r="G51" s="22" t="s">
        <v>68</v>
      </c>
      <c r="H51" s="39" t="s">
        <v>87</v>
      </c>
    </row>
    <row r="52" spans="1:8" x14ac:dyDescent="0.3">
      <c r="A52" s="29"/>
      <c r="B52" s="40" t="s">
        <v>51</v>
      </c>
      <c r="C52" s="37" t="s">
        <v>145</v>
      </c>
      <c r="D52" s="29" t="s">
        <v>70</v>
      </c>
      <c r="E52" s="37" t="s">
        <v>5</v>
      </c>
      <c r="F52" s="37" t="s">
        <v>146</v>
      </c>
      <c r="G52" s="22" t="s">
        <v>68</v>
      </c>
      <c r="H52" s="39" t="s">
        <v>87</v>
      </c>
    </row>
    <row r="53" spans="1:8" x14ac:dyDescent="0.3">
      <c r="A53" s="29"/>
      <c r="B53" s="40" t="s">
        <v>51</v>
      </c>
      <c r="C53" s="37" t="s">
        <v>145</v>
      </c>
      <c r="D53" s="29" t="s">
        <v>72</v>
      </c>
      <c r="E53" s="37" t="s">
        <v>5</v>
      </c>
      <c r="F53" s="37" t="s">
        <v>147</v>
      </c>
      <c r="G53" s="22" t="s">
        <v>68</v>
      </c>
      <c r="H53" s="23" t="s">
        <v>69</v>
      </c>
    </row>
    <row r="54" spans="1:8" x14ac:dyDescent="0.3">
      <c r="A54" s="29"/>
      <c r="B54" s="40" t="s">
        <v>51</v>
      </c>
      <c r="C54" s="37" t="s">
        <v>145</v>
      </c>
      <c r="D54" s="29" t="s">
        <v>101</v>
      </c>
      <c r="E54" s="37" t="s">
        <v>5</v>
      </c>
      <c r="F54" s="37" t="s">
        <v>148</v>
      </c>
      <c r="G54" s="22" t="s">
        <v>68</v>
      </c>
      <c r="H54" s="39" t="s">
        <v>87</v>
      </c>
    </row>
    <row r="55" spans="1:8" x14ac:dyDescent="0.3">
      <c r="A55" s="29"/>
      <c r="B55" s="41" t="s">
        <v>50</v>
      </c>
      <c r="C55" s="37" t="s">
        <v>28</v>
      </c>
      <c r="D55" s="29"/>
      <c r="E55" s="37" t="s">
        <v>149</v>
      </c>
      <c r="F55" s="37" t="s">
        <v>150</v>
      </c>
      <c r="G55" s="26" t="s">
        <v>84</v>
      </c>
      <c r="H55" s="39" t="s">
        <v>87</v>
      </c>
    </row>
    <row r="56" spans="1:8" x14ac:dyDescent="0.3">
      <c r="A56" s="29"/>
      <c r="B56" s="41" t="s">
        <v>50</v>
      </c>
      <c r="C56" s="37" t="s">
        <v>28</v>
      </c>
      <c r="D56" s="29" t="s">
        <v>70</v>
      </c>
      <c r="E56" s="37" t="s">
        <v>5</v>
      </c>
      <c r="F56" s="37" t="s">
        <v>151</v>
      </c>
      <c r="G56" s="26" t="s">
        <v>84</v>
      </c>
      <c r="H56" s="39" t="s">
        <v>87</v>
      </c>
    </row>
    <row r="57" spans="1:8" x14ac:dyDescent="0.3">
      <c r="A57" s="29"/>
      <c r="B57" s="41" t="s">
        <v>50</v>
      </c>
      <c r="C57" s="37" t="s">
        <v>28</v>
      </c>
      <c r="D57" s="29" t="s">
        <v>70</v>
      </c>
      <c r="E57" s="37" t="s">
        <v>152</v>
      </c>
      <c r="F57" s="37" t="s">
        <v>153</v>
      </c>
      <c r="G57" s="26" t="s">
        <v>84</v>
      </c>
      <c r="H57" s="39" t="s">
        <v>87</v>
      </c>
    </row>
    <row r="58" spans="1:8" x14ac:dyDescent="0.3">
      <c r="A58" s="29"/>
      <c r="B58" s="41" t="s">
        <v>50</v>
      </c>
      <c r="C58" s="37" t="s">
        <v>28</v>
      </c>
      <c r="D58" s="29" t="s">
        <v>72</v>
      </c>
      <c r="E58" s="37" t="s">
        <v>5</v>
      </c>
      <c r="F58" s="37" t="s">
        <v>154</v>
      </c>
      <c r="G58" s="22" t="s">
        <v>68</v>
      </c>
      <c r="H58" s="39" t="s">
        <v>87</v>
      </c>
    </row>
    <row r="59" spans="1:8" x14ac:dyDescent="0.3">
      <c r="A59" s="29"/>
      <c r="B59" s="41" t="s">
        <v>50</v>
      </c>
      <c r="C59" s="37" t="s">
        <v>28</v>
      </c>
      <c r="D59" s="29" t="s">
        <v>72</v>
      </c>
      <c r="E59" s="37" t="s">
        <v>152</v>
      </c>
      <c r="F59" s="37" t="s">
        <v>155</v>
      </c>
      <c r="G59" s="26" t="s">
        <v>84</v>
      </c>
      <c r="H59" s="39" t="s">
        <v>87</v>
      </c>
    </row>
    <row r="60" spans="1:8" x14ac:dyDescent="0.3">
      <c r="A60" s="29"/>
      <c r="B60" s="41" t="s">
        <v>50</v>
      </c>
      <c r="C60" s="37" t="s">
        <v>28</v>
      </c>
      <c r="D60" s="29" t="s">
        <v>82</v>
      </c>
      <c r="E60" s="37" t="s">
        <v>5</v>
      </c>
      <c r="F60" s="37" t="s">
        <v>156</v>
      </c>
      <c r="G60" s="26" t="s">
        <v>84</v>
      </c>
      <c r="H60" s="39" t="s">
        <v>87</v>
      </c>
    </row>
    <row r="61" spans="1:8" x14ac:dyDescent="0.3">
      <c r="A61" s="29"/>
      <c r="B61" s="41" t="s">
        <v>50</v>
      </c>
      <c r="C61" s="37" t="s">
        <v>28</v>
      </c>
      <c r="D61" s="29" t="s">
        <v>82</v>
      </c>
      <c r="E61" s="37" t="s">
        <v>157</v>
      </c>
      <c r="F61" s="37" t="s">
        <v>158</v>
      </c>
      <c r="G61" s="26" t="s">
        <v>84</v>
      </c>
      <c r="H61" s="23" t="s">
        <v>69</v>
      </c>
    </row>
    <row r="62" spans="1:8" x14ac:dyDescent="0.3">
      <c r="A62" s="29"/>
      <c r="B62" s="41" t="s">
        <v>50</v>
      </c>
      <c r="C62" s="37" t="s">
        <v>29</v>
      </c>
      <c r="D62" s="29" t="s">
        <v>70</v>
      </c>
      <c r="E62" s="37" t="s">
        <v>157</v>
      </c>
      <c r="F62" s="37" t="s">
        <v>159</v>
      </c>
      <c r="G62" s="22" t="s">
        <v>68</v>
      </c>
      <c r="H62" s="23" t="s">
        <v>69</v>
      </c>
    </row>
    <row r="63" spans="1:8" x14ac:dyDescent="0.3">
      <c r="A63" s="29"/>
      <c r="B63" s="41" t="s">
        <v>50</v>
      </c>
      <c r="C63" s="37" t="s">
        <v>29</v>
      </c>
      <c r="D63" s="29" t="s">
        <v>72</v>
      </c>
      <c r="E63" s="37" t="s">
        <v>157</v>
      </c>
      <c r="F63" s="37" t="s">
        <v>160</v>
      </c>
      <c r="G63" s="22" t="s">
        <v>68</v>
      </c>
      <c r="H63" s="39" t="s">
        <v>87</v>
      </c>
    </row>
    <row r="64" spans="1:8" x14ac:dyDescent="0.3">
      <c r="A64" s="29"/>
      <c r="B64" s="41" t="s">
        <v>50</v>
      </c>
      <c r="C64" s="37" t="s">
        <v>30</v>
      </c>
      <c r="D64" s="29"/>
      <c r="E64" s="37" t="s">
        <v>5</v>
      </c>
      <c r="F64" s="37" t="s">
        <v>161</v>
      </c>
      <c r="G64" s="26" t="s">
        <v>84</v>
      </c>
      <c r="H64" s="39" t="s">
        <v>87</v>
      </c>
    </row>
    <row r="65" spans="1:8" x14ac:dyDescent="0.3">
      <c r="A65" s="29"/>
      <c r="B65" s="41" t="s">
        <v>50</v>
      </c>
      <c r="C65" s="37" t="s">
        <v>31</v>
      </c>
      <c r="D65" s="29" t="s">
        <v>85</v>
      </c>
      <c r="E65" s="37" t="s">
        <v>157</v>
      </c>
      <c r="F65" s="37" t="s">
        <v>162</v>
      </c>
      <c r="G65" s="26" t="s">
        <v>84</v>
      </c>
      <c r="H65" s="39" t="s">
        <v>87</v>
      </c>
    </row>
    <row r="66" spans="1:8" ht="18" customHeight="1" x14ac:dyDescent="0.3">
      <c r="A66" s="81" t="s">
        <v>163</v>
      </c>
      <c r="B66" s="81"/>
      <c r="C66" s="81"/>
      <c r="D66" s="81"/>
      <c r="E66" s="81"/>
      <c r="F66" s="81"/>
      <c r="G66" s="81"/>
      <c r="H66" s="81"/>
    </row>
    <row r="67" spans="1:8" x14ac:dyDescent="0.3">
      <c r="A67" s="29"/>
      <c r="B67" s="36" t="s">
        <v>53</v>
      </c>
      <c r="C67" s="37" t="s">
        <v>164</v>
      </c>
      <c r="D67" s="29"/>
      <c r="E67" s="37" t="s">
        <v>16</v>
      </c>
      <c r="F67" s="37" t="s">
        <v>165</v>
      </c>
      <c r="G67" s="22" t="s">
        <v>68</v>
      </c>
      <c r="H67" s="23" t="s">
        <v>69</v>
      </c>
    </row>
    <row r="68" spans="1:8" x14ac:dyDescent="0.3">
      <c r="A68" s="29"/>
      <c r="B68" s="38" t="s">
        <v>52</v>
      </c>
      <c r="C68" s="37" t="s">
        <v>28</v>
      </c>
      <c r="D68" s="29"/>
      <c r="E68" s="37" t="s">
        <v>16</v>
      </c>
      <c r="F68" s="37" t="s">
        <v>166</v>
      </c>
      <c r="G68" s="22" t="s">
        <v>68</v>
      </c>
      <c r="H68" s="23" t="s">
        <v>69</v>
      </c>
    </row>
    <row r="69" spans="1:8" x14ac:dyDescent="0.3">
      <c r="A69" s="29"/>
      <c r="B69" s="38" t="s">
        <v>52</v>
      </c>
      <c r="C69" s="37" t="s">
        <v>97</v>
      </c>
      <c r="D69" s="29"/>
      <c r="E69" s="37" t="s">
        <v>16</v>
      </c>
      <c r="F69" s="37" t="s">
        <v>167</v>
      </c>
      <c r="G69" s="22" t="s">
        <v>68</v>
      </c>
      <c r="H69" s="25" t="s">
        <v>77</v>
      </c>
    </row>
    <row r="70" spans="1:8" x14ac:dyDescent="0.3">
      <c r="A70" s="29"/>
      <c r="B70" s="38" t="s">
        <v>52</v>
      </c>
      <c r="C70" s="37" t="s">
        <v>121</v>
      </c>
      <c r="D70" s="29" t="s">
        <v>70</v>
      </c>
      <c r="E70" s="37" t="s">
        <v>16</v>
      </c>
      <c r="F70" s="37" t="s">
        <v>168</v>
      </c>
      <c r="G70" s="26" t="s">
        <v>84</v>
      </c>
      <c r="H70" s="23" t="s">
        <v>69</v>
      </c>
    </row>
    <row r="71" spans="1:8" x14ac:dyDescent="0.3">
      <c r="A71" s="29"/>
      <c r="B71" s="38" t="s">
        <v>52</v>
      </c>
      <c r="C71" s="37" t="s">
        <v>121</v>
      </c>
      <c r="D71" s="29" t="s">
        <v>72</v>
      </c>
      <c r="E71" s="37" t="s">
        <v>16</v>
      </c>
      <c r="F71" s="37" t="s">
        <v>169</v>
      </c>
      <c r="G71" s="22" t="s">
        <v>68</v>
      </c>
      <c r="H71" s="23" t="s">
        <v>69</v>
      </c>
    </row>
    <row r="72" spans="1:8" x14ac:dyDescent="0.3">
      <c r="A72" s="29"/>
      <c r="B72" s="38" t="s">
        <v>52</v>
      </c>
      <c r="C72" s="37" t="s">
        <v>121</v>
      </c>
      <c r="D72" s="29" t="s">
        <v>82</v>
      </c>
      <c r="E72" s="37" t="s">
        <v>16</v>
      </c>
      <c r="F72" s="37" t="s">
        <v>170</v>
      </c>
      <c r="G72" s="22" t="s">
        <v>68</v>
      </c>
      <c r="H72" s="23" t="s">
        <v>69</v>
      </c>
    </row>
    <row r="73" spans="1:8" x14ac:dyDescent="0.3">
      <c r="A73" s="29"/>
      <c r="B73" s="40" t="s">
        <v>51</v>
      </c>
      <c r="C73" s="37" t="s">
        <v>138</v>
      </c>
      <c r="D73" s="29" t="s">
        <v>72</v>
      </c>
      <c r="E73" s="37" t="s">
        <v>16</v>
      </c>
      <c r="F73" s="37" t="s">
        <v>171</v>
      </c>
      <c r="G73" s="22" t="s">
        <v>68</v>
      </c>
      <c r="H73" s="25" t="s">
        <v>77</v>
      </c>
    </row>
    <row r="74" spans="1:8" x14ac:dyDescent="0.3">
      <c r="A74" s="29"/>
      <c r="B74" s="40" t="s">
        <v>51</v>
      </c>
      <c r="C74" s="37" t="s">
        <v>145</v>
      </c>
      <c r="D74" s="29" t="s">
        <v>70</v>
      </c>
      <c r="E74" s="37" t="s">
        <v>16</v>
      </c>
      <c r="F74" s="37" t="s">
        <v>172</v>
      </c>
      <c r="G74" s="22" t="s">
        <v>68</v>
      </c>
      <c r="H74" s="23" t="s">
        <v>69</v>
      </c>
    </row>
    <row r="75" spans="1:8" x14ac:dyDescent="0.3">
      <c r="A75" s="29"/>
      <c r="B75" s="41" t="s">
        <v>50</v>
      </c>
      <c r="C75" s="37" t="s">
        <v>28</v>
      </c>
      <c r="D75" s="29" t="s">
        <v>70</v>
      </c>
      <c r="E75" s="37" t="s">
        <v>16</v>
      </c>
      <c r="F75" s="37" t="s">
        <v>173</v>
      </c>
      <c r="G75" s="26" t="s">
        <v>84</v>
      </c>
      <c r="H75" s="39" t="s">
        <v>87</v>
      </c>
    </row>
    <row r="76" spans="1:8" ht="18" customHeight="1" x14ac:dyDescent="0.3">
      <c r="A76" s="82" t="s">
        <v>174</v>
      </c>
      <c r="B76" s="82"/>
      <c r="C76" s="82"/>
      <c r="D76" s="82"/>
      <c r="E76" s="82"/>
      <c r="F76" s="82"/>
      <c r="G76" s="82"/>
      <c r="H76" s="82"/>
    </row>
    <row r="77" spans="1:8" x14ac:dyDescent="0.3">
      <c r="A77" s="29"/>
      <c r="B77" s="38" t="s">
        <v>52</v>
      </c>
      <c r="C77" s="37" t="s">
        <v>28</v>
      </c>
      <c r="D77" s="29"/>
      <c r="E77" s="37" t="s">
        <v>19</v>
      </c>
      <c r="F77" s="37" t="s">
        <v>175</v>
      </c>
      <c r="G77" s="22" t="s">
        <v>68</v>
      </c>
      <c r="H77" s="23" t="s">
        <v>69</v>
      </c>
    </row>
    <row r="78" spans="1:8" x14ac:dyDescent="0.3">
      <c r="A78" s="29"/>
      <c r="B78" s="38" t="s">
        <v>52</v>
      </c>
      <c r="C78" s="37" t="s">
        <v>29</v>
      </c>
      <c r="D78" s="29"/>
      <c r="E78" s="37" t="s">
        <v>19</v>
      </c>
      <c r="F78" s="37" t="s">
        <v>176</v>
      </c>
      <c r="G78" s="26" t="s">
        <v>84</v>
      </c>
      <c r="H78" s="25" t="s">
        <v>77</v>
      </c>
    </row>
    <row r="79" spans="1:8" x14ac:dyDescent="0.3">
      <c r="A79" s="29"/>
      <c r="B79" s="38" t="s">
        <v>52</v>
      </c>
      <c r="C79" s="37" t="s">
        <v>121</v>
      </c>
      <c r="D79" s="29" t="s">
        <v>70</v>
      </c>
      <c r="E79" s="37" t="s">
        <v>19</v>
      </c>
      <c r="F79" s="37" t="s">
        <v>177</v>
      </c>
      <c r="G79" s="22" t="s">
        <v>68</v>
      </c>
      <c r="H79" s="23" t="s">
        <v>69</v>
      </c>
    </row>
    <row r="80" spans="1:8" x14ac:dyDescent="0.3">
      <c r="A80" s="29"/>
      <c r="B80" s="38" t="s">
        <v>52</v>
      </c>
      <c r="C80" s="37" t="s">
        <v>121</v>
      </c>
      <c r="D80" s="29" t="s">
        <v>72</v>
      </c>
      <c r="E80" s="37" t="s">
        <v>19</v>
      </c>
      <c r="F80" s="37" t="s">
        <v>178</v>
      </c>
      <c r="G80" s="22" t="s">
        <v>68</v>
      </c>
      <c r="H80" s="23" t="s">
        <v>69</v>
      </c>
    </row>
    <row r="81" spans="1:8" x14ac:dyDescent="0.3">
      <c r="A81" s="29"/>
      <c r="B81" s="40" t="s">
        <v>51</v>
      </c>
      <c r="C81" s="37" t="s">
        <v>145</v>
      </c>
      <c r="D81" s="29" t="s">
        <v>70</v>
      </c>
      <c r="E81" s="37" t="s">
        <v>19</v>
      </c>
      <c r="F81" s="37" t="s">
        <v>179</v>
      </c>
      <c r="G81" s="26" t="s">
        <v>84</v>
      </c>
      <c r="H81" s="23" t="s">
        <v>69</v>
      </c>
    </row>
    <row r="82" spans="1:8" x14ac:dyDescent="0.3">
      <c r="A82" s="29"/>
      <c r="B82" s="40" t="s">
        <v>51</v>
      </c>
      <c r="C82" s="37" t="s">
        <v>145</v>
      </c>
      <c r="D82" s="29" t="s">
        <v>72</v>
      </c>
      <c r="E82" s="37" t="s">
        <v>19</v>
      </c>
      <c r="F82" s="37" t="s">
        <v>180</v>
      </c>
      <c r="G82" s="22" t="s">
        <v>68</v>
      </c>
      <c r="H82" s="23" t="s">
        <v>69</v>
      </c>
    </row>
    <row r="83" spans="1:8" x14ac:dyDescent="0.3">
      <c r="A83" s="29"/>
      <c r="B83" s="41" t="s">
        <v>50</v>
      </c>
      <c r="C83" s="37" t="s">
        <v>28</v>
      </c>
      <c r="D83" s="29"/>
      <c r="E83" s="37" t="s">
        <v>19</v>
      </c>
      <c r="F83" s="37" t="s">
        <v>181</v>
      </c>
      <c r="G83" s="22" t="s">
        <v>68</v>
      </c>
      <c r="H83" s="39" t="s">
        <v>87</v>
      </c>
    </row>
    <row r="84" spans="1:8" ht="18" customHeight="1" x14ac:dyDescent="0.3">
      <c r="A84" s="83" t="s">
        <v>182</v>
      </c>
      <c r="B84" s="83"/>
      <c r="C84" s="83"/>
      <c r="D84" s="83"/>
      <c r="E84" s="83"/>
      <c r="F84" s="83"/>
      <c r="G84" s="83"/>
      <c r="H84" s="83"/>
    </row>
    <row r="85" spans="1:8" x14ac:dyDescent="0.3">
      <c r="A85" s="29"/>
      <c r="B85" s="38" t="s">
        <v>52</v>
      </c>
      <c r="C85" s="37" t="s">
        <v>28</v>
      </c>
      <c r="D85" s="29"/>
      <c r="E85" s="37" t="s">
        <v>17</v>
      </c>
      <c r="F85" s="37" t="s">
        <v>183</v>
      </c>
      <c r="G85" s="22" t="s">
        <v>68</v>
      </c>
      <c r="H85" s="23" t="s">
        <v>69</v>
      </c>
    </row>
    <row r="86" spans="1:8" x14ac:dyDescent="0.3">
      <c r="A86" s="29"/>
      <c r="B86" s="38" t="s">
        <v>52</v>
      </c>
      <c r="C86" s="37" t="s">
        <v>184</v>
      </c>
      <c r="D86" s="29"/>
      <c r="E86" s="37" t="s">
        <v>17</v>
      </c>
      <c r="F86" s="37" t="s">
        <v>185</v>
      </c>
      <c r="G86" s="22" t="s">
        <v>68</v>
      </c>
      <c r="H86" s="39" t="s">
        <v>87</v>
      </c>
    </row>
    <row r="87" spans="1:8" x14ac:dyDescent="0.3">
      <c r="A87" s="29"/>
      <c r="B87" s="38" t="s">
        <v>52</v>
      </c>
      <c r="C87" s="37" t="s">
        <v>121</v>
      </c>
      <c r="D87" s="29"/>
      <c r="E87" s="37" t="s">
        <v>17</v>
      </c>
      <c r="F87" s="37" t="s">
        <v>186</v>
      </c>
      <c r="G87" s="22" t="s">
        <v>68</v>
      </c>
      <c r="H87" s="23" t="s">
        <v>69</v>
      </c>
    </row>
    <row r="88" spans="1:8" x14ac:dyDescent="0.3">
      <c r="A88" s="29"/>
      <c r="B88" s="40" t="s">
        <v>51</v>
      </c>
      <c r="C88" s="37" t="s">
        <v>145</v>
      </c>
      <c r="D88" s="29"/>
      <c r="E88" s="37" t="s">
        <v>17</v>
      </c>
      <c r="F88" s="37" t="s">
        <v>187</v>
      </c>
      <c r="G88" s="22" t="s">
        <v>68</v>
      </c>
      <c r="H88" s="23" t="s">
        <v>69</v>
      </c>
    </row>
    <row r="89" spans="1:8" x14ac:dyDescent="0.3">
      <c r="A89" s="29"/>
      <c r="B89" s="41" t="s">
        <v>50</v>
      </c>
      <c r="C89" s="37" t="s">
        <v>28</v>
      </c>
      <c r="D89" s="29"/>
      <c r="E89" s="37" t="s">
        <v>17</v>
      </c>
      <c r="F89" s="37" t="s">
        <v>188</v>
      </c>
      <c r="G89" s="22" t="s">
        <v>68</v>
      </c>
      <c r="H89" s="39" t="s">
        <v>87</v>
      </c>
    </row>
    <row r="90" spans="1:8" ht="18" customHeight="1" x14ac:dyDescent="0.3">
      <c r="A90" s="84" t="s">
        <v>189</v>
      </c>
      <c r="B90" s="84"/>
      <c r="C90" s="84"/>
      <c r="D90" s="84"/>
      <c r="E90" s="84"/>
      <c r="F90" s="84"/>
      <c r="G90" s="84"/>
      <c r="H90" s="84"/>
    </row>
    <row r="91" spans="1:8" x14ac:dyDescent="0.3">
      <c r="A91" s="29"/>
      <c r="B91" s="38" t="s">
        <v>52</v>
      </c>
      <c r="C91" s="37" t="s">
        <v>28</v>
      </c>
      <c r="D91" s="29"/>
      <c r="E91" s="37" t="s">
        <v>45</v>
      </c>
      <c r="F91" s="37" t="s">
        <v>190</v>
      </c>
      <c r="G91" s="26" t="s">
        <v>84</v>
      </c>
      <c r="H91" s="39" t="s">
        <v>87</v>
      </c>
    </row>
    <row r="92" spans="1:8" x14ac:dyDescent="0.3">
      <c r="A92" s="29"/>
      <c r="B92" s="38" t="s">
        <v>52</v>
      </c>
      <c r="C92" s="37" t="s">
        <v>121</v>
      </c>
      <c r="D92" s="29"/>
      <c r="E92" s="37" t="s">
        <v>45</v>
      </c>
      <c r="F92" s="37" t="s">
        <v>191</v>
      </c>
      <c r="G92" s="22" t="s">
        <v>68</v>
      </c>
      <c r="H92" s="25" t="s">
        <v>77</v>
      </c>
    </row>
    <row r="93" spans="1:8" x14ac:dyDescent="0.3">
      <c r="A93" s="29"/>
      <c r="B93" s="40" t="s">
        <v>51</v>
      </c>
      <c r="C93" s="37" t="s">
        <v>145</v>
      </c>
      <c r="D93" s="29"/>
      <c r="E93" s="37" t="s">
        <v>45</v>
      </c>
      <c r="F93" s="37" t="s">
        <v>192</v>
      </c>
      <c r="G93" s="22" t="s">
        <v>68</v>
      </c>
      <c r="H93" s="23" t="s">
        <v>69</v>
      </c>
    </row>
    <row r="94" spans="1:8" x14ac:dyDescent="0.3">
      <c r="A94" s="29"/>
      <c r="B94" s="41" t="s">
        <v>50</v>
      </c>
      <c r="C94" s="37" t="s">
        <v>28</v>
      </c>
      <c r="D94" s="29"/>
      <c r="E94" s="37" t="s">
        <v>45</v>
      </c>
      <c r="F94" s="37" t="s">
        <v>193</v>
      </c>
      <c r="G94" s="22" t="s">
        <v>68</v>
      </c>
      <c r="H94" s="39" t="s">
        <v>87</v>
      </c>
    </row>
    <row r="95" spans="1:8" ht="18" customHeight="1" x14ac:dyDescent="0.3">
      <c r="A95" s="77" t="s">
        <v>194</v>
      </c>
      <c r="B95" s="77"/>
      <c r="C95" s="77"/>
      <c r="D95" s="77"/>
      <c r="E95" s="77"/>
      <c r="F95" s="77"/>
      <c r="G95" s="77"/>
      <c r="H95" s="77"/>
    </row>
    <row r="96" spans="1:8" x14ac:dyDescent="0.3">
      <c r="A96" s="29"/>
      <c r="B96" s="38" t="s">
        <v>52</v>
      </c>
      <c r="C96" s="37" t="s">
        <v>28</v>
      </c>
      <c r="D96" s="29"/>
      <c r="E96" s="37" t="s">
        <v>21</v>
      </c>
      <c r="F96" s="37" t="s">
        <v>195</v>
      </c>
      <c r="G96" s="22" t="s">
        <v>68</v>
      </c>
      <c r="H96" s="23" t="s">
        <v>69</v>
      </c>
    </row>
    <row r="97" spans="1:8" x14ac:dyDescent="0.3">
      <c r="A97" s="29"/>
      <c r="B97" s="38" t="s">
        <v>52</v>
      </c>
      <c r="C97" s="37" t="s">
        <v>121</v>
      </c>
      <c r="D97" s="29"/>
      <c r="E97" s="37" t="s">
        <v>21</v>
      </c>
      <c r="F97" s="37" t="s">
        <v>196</v>
      </c>
      <c r="G97" s="26" t="s">
        <v>84</v>
      </c>
      <c r="H97" s="23" t="s">
        <v>69</v>
      </c>
    </row>
    <row r="98" spans="1:8" x14ac:dyDescent="0.3">
      <c r="A98" s="29"/>
      <c r="B98" s="40" t="s">
        <v>51</v>
      </c>
      <c r="C98" s="37" t="s">
        <v>145</v>
      </c>
      <c r="D98" s="29"/>
      <c r="E98" s="37" t="s">
        <v>21</v>
      </c>
      <c r="F98" s="37" t="s">
        <v>197</v>
      </c>
      <c r="G98" s="26" t="s">
        <v>84</v>
      </c>
      <c r="H98" s="23" t="s">
        <v>69</v>
      </c>
    </row>
    <row r="99" spans="1:8" x14ac:dyDescent="0.3">
      <c r="A99" s="29"/>
      <c r="B99" s="41" t="s">
        <v>50</v>
      </c>
      <c r="C99" s="37" t="s">
        <v>28</v>
      </c>
      <c r="D99" s="29"/>
      <c r="E99" s="37" t="s">
        <v>21</v>
      </c>
      <c r="F99" s="37" t="s">
        <v>198</v>
      </c>
      <c r="G99" s="26" t="s">
        <v>84</v>
      </c>
      <c r="H99" s="39" t="s">
        <v>87</v>
      </c>
    </row>
    <row r="100" spans="1:8" ht="18" customHeight="1" x14ac:dyDescent="0.3">
      <c r="A100" s="78" t="s">
        <v>199</v>
      </c>
      <c r="B100" s="78"/>
      <c r="C100" s="78"/>
      <c r="D100" s="78"/>
      <c r="E100" s="78"/>
      <c r="F100" s="78"/>
      <c r="G100" s="78"/>
      <c r="H100" s="78"/>
    </row>
    <row r="101" spans="1:8" x14ac:dyDescent="0.3">
      <c r="A101" s="29"/>
      <c r="B101" s="38" t="s">
        <v>52</v>
      </c>
      <c r="C101" s="37" t="s">
        <v>28</v>
      </c>
      <c r="D101" s="29"/>
      <c r="E101" s="37" t="s">
        <v>56</v>
      </c>
      <c r="F101" s="37" t="s">
        <v>200</v>
      </c>
      <c r="G101" s="22" t="s">
        <v>68</v>
      </c>
      <c r="H101" s="39" t="s">
        <v>87</v>
      </c>
    </row>
    <row r="102" spans="1:8" x14ac:dyDescent="0.3">
      <c r="A102" s="29"/>
      <c r="B102" s="38" t="s">
        <v>52</v>
      </c>
      <c r="C102" s="37" t="s">
        <v>121</v>
      </c>
      <c r="D102" s="29"/>
      <c r="E102" s="37" t="s">
        <v>56</v>
      </c>
      <c r="F102" s="37" t="s">
        <v>201</v>
      </c>
      <c r="G102" s="22" t="s">
        <v>68</v>
      </c>
      <c r="H102" s="23" t="s">
        <v>69</v>
      </c>
    </row>
    <row r="103" spans="1:8" x14ac:dyDescent="0.3">
      <c r="A103" s="29"/>
      <c r="B103" s="40" t="s">
        <v>51</v>
      </c>
      <c r="C103" s="37" t="s">
        <v>145</v>
      </c>
      <c r="D103" s="29"/>
      <c r="E103" s="37" t="s">
        <v>56</v>
      </c>
      <c r="F103" s="37" t="s">
        <v>202</v>
      </c>
      <c r="G103" s="22" t="s">
        <v>68</v>
      </c>
      <c r="H103" s="23" t="s">
        <v>69</v>
      </c>
    </row>
    <row r="104" spans="1:8" x14ac:dyDescent="0.3">
      <c r="A104" s="29"/>
      <c r="B104" s="41" t="s">
        <v>50</v>
      </c>
      <c r="C104" s="37" t="s">
        <v>28</v>
      </c>
      <c r="D104" s="29"/>
      <c r="E104" s="37" t="s">
        <v>56</v>
      </c>
      <c r="F104" s="37" t="s">
        <v>203</v>
      </c>
      <c r="G104" s="22" t="s">
        <v>68</v>
      </c>
      <c r="H104" s="39" t="s">
        <v>87</v>
      </c>
    </row>
    <row r="105" spans="1:8" ht="18" customHeight="1" x14ac:dyDescent="0.3">
      <c r="A105" s="79" t="s">
        <v>204</v>
      </c>
      <c r="B105" s="79"/>
      <c r="C105" s="79"/>
      <c r="D105" s="79"/>
      <c r="E105" s="79"/>
      <c r="F105" s="79"/>
      <c r="G105" s="79"/>
      <c r="H105" s="79"/>
    </row>
    <row r="106" spans="1:8" x14ac:dyDescent="0.3">
      <c r="A106" s="29"/>
      <c r="B106" s="38" t="s">
        <v>52</v>
      </c>
      <c r="C106" s="37" t="s">
        <v>28</v>
      </c>
      <c r="D106" s="29"/>
      <c r="E106" s="37" t="s">
        <v>18</v>
      </c>
      <c r="F106" s="37" t="s">
        <v>205</v>
      </c>
      <c r="G106" s="22" t="s">
        <v>68</v>
      </c>
      <c r="H106" s="39" t="s">
        <v>87</v>
      </c>
    </row>
    <row r="107" spans="1:8" x14ac:dyDescent="0.3">
      <c r="A107" s="29"/>
      <c r="B107" s="38" t="s">
        <v>52</v>
      </c>
      <c r="C107" s="37" t="s">
        <v>121</v>
      </c>
      <c r="D107" s="29"/>
      <c r="E107" s="37" t="s">
        <v>18</v>
      </c>
      <c r="F107" s="37" t="s">
        <v>206</v>
      </c>
      <c r="G107" s="26" t="s">
        <v>84</v>
      </c>
      <c r="H107" s="23" t="s">
        <v>69</v>
      </c>
    </row>
    <row r="108" spans="1:8" x14ac:dyDescent="0.3">
      <c r="A108" s="29"/>
      <c r="B108" s="40" t="s">
        <v>51</v>
      </c>
      <c r="C108" s="37" t="s">
        <v>145</v>
      </c>
      <c r="D108" s="29"/>
      <c r="E108" s="37" t="s">
        <v>18</v>
      </c>
      <c r="F108" s="37" t="s">
        <v>207</v>
      </c>
      <c r="G108" s="22" t="s">
        <v>68</v>
      </c>
      <c r="H108" s="25" t="s">
        <v>77</v>
      </c>
    </row>
    <row r="109" spans="1:8" x14ac:dyDescent="0.3">
      <c r="A109" s="29"/>
      <c r="B109" s="41" t="s">
        <v>50</v>
      </c>
      <c r="C109" s="37" t="s">
        <v>28</v>
      </c>
      <c r="D109" s="29"/>
      <c r="E109" s="37" t="s">
        <v>18</v>
      </c>
      <c r="F109" s="37" t="s">
        <v>208</v>
      </c>
      <c r="G109" s="22" t="s">
        <v>68</v>
      </c>
      <c r="H109" s="39" t="s">
        <v>87</v>
      </c>
    </row>
    <row r="110" spans="1:8" x14ac:dyDescent="0.3">
      <c r="A110" s="29"/>
      <c r="B110" s="41" t="s">
        <v>50</v>
      </c>
      <c r="C110" s="37" t="s">
        <v>28</v>
      </c>
      <c r="D110" s="29"/>
      <c r="E110" s="37" t="s">
        <v>209</v>
      </c>
      <c r="F110" s="37" t="s">
        <v>210</v>
      </c>
      <c r="G110" s="22" t="s">
        <v>68</v>
      </c>
      <c r="H110" s="39" t="s">
        <v>87</v>
      </c>
    </row>
    <row r="111" spans="1:8" x14ac:dyDescent="0.3">
      <c r="A111" s="29"/>
      <c r="B111" s="41" t="s">
        <v>50</v>
      </c>
      <c r="C111" s="37" t="s">
        <v>28</v>
      </c>
      <c r="D111" s="29"/>
      <c r="E111" s="37" t="s">
        <v>211</v>
      </c>
      <c r="F111" s="37" t="s">
        <v>212</v>
      </c>
      <c r="G111" s="22" t="s">
        <v>68</v>
      </c>
      <c r="H111" s="39" t="s">
        <v>87</v>
      </c>
    </row>
  </sheetData>
  <mergeCells count="9">
    <mergeCell ref="A95:H95"/>
    <mergeCell ref="A100:H100"/>
    <mergeCell ref="A105:H105"/>
    <mergeCell ref="A1:H1"/>
    <mergeCell ref="A3:H3"/>
    <mergeCell ref="A66:H66"/>
    <mergeCell ref="A76:H76"/>
    <mergeCell ref="A84:H84"/>
    <mergeCell ref="A90:H9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4DD3-A18B-4EAF-9DB7-C17E079CA468}">
  <sheetPr>
    <tabColor theme="5" tint="0.59999389629810485"/>
  </sheetPr>
  <dimension ref="A1:F116"/>
  <sheetViews>
    <sheetView zoomScaleNormal="100" workbookViewId="0">
      <selection activeCell="H20" sqref="H20"/>
    </sheetView>
  </sheetViews>
  <sheetFormatPr baseColWidth="10" defaultColWidth="8.6640625" defaultRowHeight="14.4" x14ac:dyDescent="0.3"/>
  <cols>
    <col min="1" max="1" width="14" style="2" customWidth="1"/>
    <col min="2" max="2" width="26" style="2" customWidth="1"/>
    <col min="3" max="3" width="6" style="2" customWidth="1"/>
    <col min="4" max="4" width="36" style="2" customWidth="1"/>
    <col min="5" max="5" width="8" style="2" customWidth="1"/>
    <col min="6" max="6" width="16" style="2" customWidth="1"/>
    <col min="7" max="16384" width="8.6640625" style="2"/>
  </cols>
  <sheetData>
    <row r="1" spans="1:6" ht="21.75" customHeight="1" x14ac:dyDescent="0.3">
      <c r="A1" s="76" t="s">
        <v>213</v>
      </c>
      <c r="B1" s="76"/>
      <c r="C1" s="76"/>
      <c r="D1" s="76"/>
      <c r="E1" s="76"/>
      <c r="F1" s="76"/>
    </row>
    <row r="2" spans="1:6" ht="18" customHeight="1" x14ac:dyDescent="0.3">
      <c r="A2" s="85" t="s">
        <v>214</v>
      </c>
      <c r="B2" s="85"/>
      <c r="C2" s="85"/>
      <c r="D2" s="85"/>
      <c r="E2" s="85"/>
      <c r="F2" s="85"/>
    </row>
    <row r="3" spans="1:6" x14ac:dyDescent="0.3">
      <c r="A3" s="42" t="s">
        <v>0</v>
      </c>
      <c r="B3" s="42" t="s">
        <v>60</v>
      </c>
      <c r="C3" s="42" t="s">
        <v>61</v>
      </c>
      <c r="D3" s="42" t="s">
        <v>63</v>
      </c>
      <c r="E3" s="42" t="s">
        <v>64</v>
      </c>
      <c r="F3" s="42" t="s">
        <v>65</v>
      </c>
    </row>
    <row r="4" spans="1:6" x14ac:dyDescent="0.3">
      <c r="A4" s="43" t="s">
        <v>5</v>
      </c>
      <c r="B4" s="37" t="s">
        <v>28</v>
      </c>
      <c r="C4" s="29"/>
      <c r="D4" s="37" t="s">
        <v>150</v>
      </c>
      <c r="E4" s="26" t="s">
        <v>84</v>
      </c>
      <c r="F4" s="39" t="s">
        <v>87</v>
      </c>
    </row>
    <row r="5" spans="1:6" x14ac:dyDescent="0.3">
      <c r="A5" s="43" t="s">
        <v>5</v>
      </c>
      <c r="B5" s="37" t="s">
        <v>28</v>
      </c>
      <c r="C5" s="29" t="s">
        <v>70</v>
      </c>
      <c r="D5" s="37" t="s">
        <v>151</v>
      </c>
      <c r="E5" s="26" t="s">
        <v>84</v>
      </c>
      <c r="F5" s="39" t="s">
        <v>87</v>
      </c>
    </row>
    <row r="6" spans="1:6" x14ac:dyDescent="0.3">
      <c r="A6" s="43" t="s">
        <v>5</v>
      </c>
      <c r="B6" s="37" t="s">
        <v>28</v>
      </c>
      <c r="C6" s="29" t="s">
        <v>70</v>
      </c>
      <c r="D6" s="37" t="s">
        <v>153</v>
      </c>
      <c r="E6" s="26" t="s">
        <v>84</v>
      </c>
      <c r="F6" s="39" t="s">
        <v>87</v>
      </c>
    </row>
    <row r="7" spans="1:6" x14ac:dyDescent="0.3">
      <c r="A7" s="43" t="s">
        <v>5</v>
      </c>
      <c r="B7" s="37" t="s">
        <v>28</v>
      </c>
      <c r="C7" s="29" t="s">
        <v>72</v>
      </c>
      <c r="D7" s="37" t="s">
        <v>154</v>
      </c>
      <c r="E7" s="22" t="s">
        <v>68</v>
      </c>
      <c r="F7" s="39" t="s">
        <v>87</v>
      </c>
    </row>
    <row r="8" spans="1:6" x14ac:dyDescent="0.3">
      <c r="A8" s="43" t="s">
        <v>5</v>
      </c>
      <c r="B8" s="37" t="s">
        <v>28</v>
      </c>
      <c r="C8" s="29" t="s">
        <v>72</v>
      </c>
      <c r="D8" s="37" t="s">
        <v>155</v>
      </c>
      <c r="E8" s="26" t="s">
        <v>84</v>
      </c>
      <c r="F8" s="39" t="s">
        <v>87</v>
      </c>
    </row>
    <row r="9" spans="1:6" x14ac:dyDescent="0.3">
      <c r="A9" s="43" t="s">
        <v>5</v>
      </c>
      <c r="B9" s="37" t="s">
        <v>28</v>
      </c>
      <c r="C9" s="29" t="s">
        <v>82</v>
      </c>
      <c r="D9" s="37" t="s">
        <v>156</v>
      </c>
      <c r="E9" s="26" t="s">
        <v>84</v>
      </c>
      <c r="F9" s="39" t="s">
        <v>87</v>
      </c>
    </row>
    <row r="10" spans="1:6" x14ac:dyDescent="0.3">
      <c r="A10" s="43" t="s">
        <v>5</v>
      </c>
      <c r="B10" s="37" t="s">
        <v>28</v>
      </c>
      <c r="C10" s="29" t="s">
        <v>82</v>
      </c>
      <c r="D10" s="37" t="s">
        <v>158</v>
      </c>
      <c r="E10" s="26" t="s">
        <v>84</v>
      </c>
      <c r="F10" s="23" t="s">
        <v>69</v>
      </c>
    </row>
    <row r="11" spans="1:6" x14ac:dyDescent="0.3">
      <c r="A11" s="43" t="s">
        <v>5</v>
      </c>
      <c r="B11" s="37" t="s">
        <v>29</v>
      </c>
      <c r="C11" s="29" t="s">
        <v>70</v>
      </c>
      <c r="D11" s="37" t="s">
        <v>159</v>
      </c>
      <c r="E11" s="22" t="s">
        <v>68</v>
      </c>
      <c r="F11" s="23" t="s">
        <v>69</v>
      </c>
    </row>
    <row r="12" spans="1:6" x14ac:dyDescent="0.3">
      <c r="A12" s="43" t="s">
        <v>5</v>
      </c>
      <c r="B12" s="37" t="s">
        <v>29</v>
      </c>
      <c r="C12" s="29" t="s">
        <v>72</v>
      </c>
      <c r="D12" s="37" t="s">
        <v>160</v>
      </c>
      <c r="E12" s="22" t="s">
        <v>68</v>
      </c>
      <c r="F12" s="39" t="s">
        <v>87</v>
      </c>
    </row>
    <row r="13" spans="1:6" x14ac:dyDescent="0.3">
      <c r="A13" s="43" t="s">
        <v>5</v>
      </c>
      <c r="B13" s="37" t="s">
        <v>30</v>
      </c>
      <c r="C13" s="29"/>
      <c r="D13" s="37" t="s">
        <v>161</v>
      </c>
      <c r="E13" s="26" t="s">
        <v>84</v>
      </c>
      <c r="F13" s="39" t="s">
        <v>87</v>
      </c>
    </row>
    <row r="14" spans="1:6" x14ac:dyDescent="0.3">
      <c r="A14" s="43" t="s">
        <v>5</v>
      </c>
      <c r="B14" s="37" t="s">
        <v>31</v>
      </c>
      <c r="C14" s="29" t="s">
        <v>85</v>
      </c>
      <c r="D14" s="37" t="s">
        <v>162</v>
      </c>
      <c r="E14" s="26" t="s">
        <v>84</v>
      </c>
      <c r="F14" s="39" t="s">
        <v>87</v>
      </c>
    </row>
    <row r="15" spans="1:6" x14ac:dyDescent="0.3">
      <c r="A15" s="43" t="s">
        <v>16</v>
      </c>
      <c r="B15" s="37" t="s">
        <v>28</v>
      </c>
      <c r="C15" s="29" t="s">
        <v>70</v>
      </c>
      <c r="D15" s="37" t="s">
        <v>173</v>
      </c>
      <c r="E15" s="26" t="s">
        <v>84</v>
      </c>
      <c r="F15" s="39" t="s">
        <v>87</v>
      </c>
    </row>
    <row r="16" spans="1:6" x14ac:dyDescent="0.3">
      <c r="A16" s="43" t="s">
        <v>19</v>
      </c>
      <c r="B16" s="37" t="s">
        <v>28</v>
      </c>
      <c r="C16" s="29"/>
      <c r="D16" s="37" t="s">
        <v>181</v>
      </c>
      <c r="E16" s="22" t="s">
        <v>68</v>
      </c>
      <c r="F16" s="39" t="s">
        <v>87</v>
      </c>
    </row>
    <row r="17" spans="1:6" x14ac:dyDescent="0.3">
      <c r="A17" s="43" t="s">
        <v>17</v>
      </c>
      <c r="B17" s="37" t="s">
        <v>28</v>
      </c>
      <c r="C17" s="29"/>
      <c r="D17" s="37" t="s">
        <v>188</v>
      </c>
      <c r="E17" s="22" t="s">
        <v>68</v>
      </c>
      <c r="F17" s="39" t="s">
        <v>87</v>
      </c>
    </row>
    <row r="18" spans="1:6" x14ac:dyDescent="0.3">
      <c r="A18" s="43" t="s">
        <v>45</v>
      </c>
      <c r="B18" s="37" t="s">
        <v>28</v>
      </c>
      <c r="C18" s="29"/>
      <c r="D18" s="37" t="s">
        <v>193</v>
      </c>
      <c r="E18" s="22" t="s">
        <v>68</v>
      </c>
      <c r="F18" s="39" t="s">
        <v>87</v>
      </c>
    </row>
    <row r="19" spans="1:6" x14ac:dyDescent="0.3">
      <c r="A19" s="43" t="s">
        <v>47</v>
      </c>
      <c r="B19" s="37" t="s">
        <v>28</v>
      </c>
      <c r="C19" s="29"/>
      <c r="D19" s="37" t="s">
        <v>198</v>
      </c>
      <c r="E19" s="26" t="s">
        <v>84</v>
      </c>
      <c r="F19" s="39" t="s">
        <v>87</v>
      </c>
    </row>
    <row r="20" spans="1:6" x14ac:dyDescent="0.3">
      <c r="A20" s="43" t="s">
        <v>56</v>
      </c>
      <c r="B20" s="37" t="s">
        <v>28</v>
      </c>
      <c r="C20" s="29"/>
      <c r="D20" s="37" t="s">
        <v>203</v>
      </c>
      <c r="E20" s="22" t="s">
        <v>68</v>
      </c>
      <c r="F20" s="39" t="s">
        <v>87</v>
      </c>
    </row>
    <row r="21" spans="1:6" x14ac:dyDescent="0.3">
      <c r="A21" s="43" t="s">
        <v>48</v>
      </c>
      <c r="B21" s="37" t="s">
        <v>28</v>
      </c>
      <c r="C21" s="29"/>
      <c r="D21" s="37" t="s">
        <v>208</v>
      </c>
      <c r="E21" s="22" t="s">
        <v>68</v>
      </c>
      <c r="F21" s="39" t="s">
        <v>87</v>
      </c>
    </row>
    <row r="22" spans="1:6" x14ac:dyDescent="0.3">
      <c r="A22" s="43" t="s">
        <v>48</v>
      </c>
      <c r="B22" s="37" t="s">
        <v>28</v>
      </c>
      <c r="C22" s="29"/>
      <c r="D22" s="37" t="s">
        <v>210</v>
      </c>
      <c r="E22" s="22" t="s">
        <v>68</v>
      </c>
      <c r="F22" s="39" t="s">
        <v>87</v>
      </c>
    </row>
    <row r="23" spans="1:6" x14ac:dyDescent="0.3">
      <c r="A23" s="43" t="s">
        <v>48</v>
      </c>
      <c r="B23" s="37" t="s">
        <v>28</v>
      </c>
      <c r="C23" s="29"/>
      <c r="D23" s="37" t="s">
        <v>212</v>
      </c>
      <c r="E23" s="22" t="s">
        <v>68</v>
      </c>
      <c r="F23" s="39" t="s">
        <v>87</v>
      </c>
    </row>
    <row r="25" spans="1:6" ht="18" customHeight="1" x14ac:dyDescent="0.3">
      <c r="A25" s="81" t="s">
        <v>215</v>
      </c>
      <c r="B25" s="81"/>
      <c r="C25" s="81"/>
      <c r="D25" s="81"/>
      <c r="E25" s="81"/>
      <c r="F25" s="81"/>
    </row>
    <row r="26" spans="1:6" x14ac:dyDescent="0.3">
      <c r="A26" s="42" t="s">
        <v>0</v>
      </c>
      <c r="B26" s="42" t="s">
        <v>60</v>
      </c>
      <c r="C26" s="42" t="s">
        <v>61</v>
      </c>
      <c r="D26" s="42" t="s">
        <v>63</v>
      </c>
      <c r="E26" s="42" t="s">
        <v>64</v>
      </c>
      <c r="F26" s="42" t="s">
        <v>65</v>
      </c>
    </row>
    <row r="27" spans="1:6" x14ac:dyDescent="0.3">
      <c r="A27" s="44" t="s">
        <v>5</v>
      </c>
      <c r="B27" s="37" t="s">
        <v>133</v>
      </c>
      <c r="C27" s="29"/>
      <c r="D27" s="37" t="s">
        <v>134</v>
      </c>
      <c r="E27" s="22" t="s">
        <v>68</v>
      </c>
      <c r="F27" s="25" t="s">
        <v>77</v>
      </c>
    </row>
    <row r="28" spans="1:6" x14ac:dyDescent="0.3">
      <c r="A28" s="44" t="s">
        <v>5</v>
      </c>
      <c r="B28" s="37" t="s">
        <v>135</v>
      </c>
      <c r="C28" s="29" t="s">
        <v>88</v>
      </c>
      <c r="D28" s="37" t="s">
        <v>136</v>
      </c>
      <c r="E28" s="26" t="s">
        <v>84</v>
      </c>
      <c r="F28" s="23" t="s">
        <v>69</v>
      </c>
    </row>
    <row r="29" spans="1:6" x14ac:dyDescent="0.3">
      <c r="A29" s="44" t="s">
        <v>5</v>
      </c>
      <c r="B29" s="37" t="s">
        <v>135</v>
      </c>
      <c r="C29" s="29" t="s">
        <v>105</v>
      </c>
      <c r="D29" s="37" t="s">
        <v>137</v>
      </c>
      <c r="E29" s="26" t="s">
        <v>84</v>
      </c>
      <c r="F29" s="39" t="s">
        <v>87</v>
      </c>
    </row>
    <row r="30" spans="1:6" x14ac:dyDescent="0.3">
      <c r="A30" s="44" t="s">
        <v>5</v>
      </c>
      <c r="B30" s="37" t="s">
        <v>138</v>
      </c>
      <c r="C30" s="29" t="s">
        <v>82</v>
      </c>
      <c r="D30" s="37" t="s">
        <v>139</v>
      </c>
      <c r="E30" s="26" t="s">
        <v>84</v>
      </c>
      <c r="F30" s="39" t="s">
        <v>87</v>
      </c>
    </row>
    <row r="31" spans="1:6" x14ac:dyDescent="0.3">
      <c r="A31" s="44" t="s">
        <v>5</v>
      </c>
      <c r="B31" s="37" t="s">
        <v>138</v>
      </c>
      <c r="C31" s="29" t="s">
        <v>85</v>
      </c>
      <c r="D31" s="37" t="s">
        <v>140</v>
      </c>
      <c r="E31" s="22" t="s">
        <v>68</v>
      </c>
      <c r="F31" s="23" t="s">
        <v>69</v>
      </c>
    </row>
    <row r="32" spans="1:6" x14ac:dyDescent="0.3">
      <c r="A32" s="44" t="s">
        <v>5</v>
      </c>
      <c r="B32" s="37" t="s">
        <v>141</v>
      </c>
      <c r="C32" s="29" t="s">
        <v>70</v>
      </c>
      <c r="D32" s="37" t="s">
        <v>142</v>
      </c>
      <c r="E32" s="22" t="s">
        <v>68</v>
      </c>
      <c r="F32" s="39" t="s">
        <v>87</v>
      </c>
    </row>
    <row r="33" spans="1:6" x14ac:dyDescent="0.3">
      <c r="A33" s="44" t="s">
        <v>5</v>
      </c>
      <c r="B33" s="37" t="s">
        <v>141</v>
      </c>
      <c r="C33" s="29" t="s">
        <v>72</v>
      </c>
      <c r="D33" s="37" t="s">
        <v>143</v>
      </c>
      <c r="E33" s="26" t="s">
        <v>84</v>
      </c>
      <c r="F33" s="39" t="s">
        <v>87</v>
      </c>
    </row>
    <row r="34" spans="1:6" x14ac:dyDescent="0.3">
      <c r="A34" s="44" t="s">
        <v>5</v>
      </c>
      <c r="B34" s="37" t="s">
        <v>141</v>
      </c>
      <c r="C34" s="29" t="s">
        <v>82</v>
      </c>
      <c r="D34" s="37" t="s">
        <v>144</v>
      </c>
      <c r="E34" s="22" t="s">
        <v>68</v>
      </c>
      <c r="F34" s="39" t="s">
        <v>87</v>
      </c>
    </row>
    <row r="35" spans="1:6" x14ac:dyDescent="0.3">
      <c r="A35" s="44" t="s">
        <v>5</v>
      </c>
      <c r="B35" s="37" t="s">
        <v>145</v>
      </c>
      <c r="C35" s="29" t="s">
        <v>70</v>
      </c>
      <c r="D35" s="37" t="s">
        <v>146</v>
      </c>
      <c r="E35" s="22" t="s">
        <v>68</v>
      </c>
      <c r="F35" s="39" t="s">
        <v>87</v>
      </c>
    </row>
    <row r="36" spans="1:6" x14ac:dyDescent="0.3">
      <c r="A36" s="44" t="s">
        <v>5</v>
      </c>
      <c r="B36" s="37" t="s">
        <v>145</v>
      </c>
      <c r="C36" s="29" t="s">
        <v>72</v>
      </c>
      <c r="D36" s="37" t="s">
        <v>147</v>
      </c>
      <c r="E36" s="22" t="s">
        <v>68</v>
      </c>
      <c r="F36" s="23" t="s">
        <v>69</v>
      </c>
    </row>
    <row r="37" spans="1:6" x14ac:dyDescent="0.3">
      <c r="A37" s="44" t="s">
        <v>5</v>
      </c>
      <c r="B37" s="37" t="s">
        <v>145</v>
      </c>
      <c r="C37" s="29" t="s">
        <v>101</v>
      </c>
      <c r="D37" s="37" t="s">
        <v>148</v>
      </c>
      <c r="E37" s="22" t="s">
        <v>68</v>
      </c>
      <c r="F37" s="39" t="s">
        <v>87</v>
      </c>
    </row>
    <row r="38" spans="1:6" x14ac:dyDescent="0.3">
      <c r="A38" s="44" t="s">
        <v>16</v>
      </c>
      <c r="B38" s="37" t="s">
        <v>138</v>
      </c>
      <c r="C38" s="29" t="s">
        <v>72</v>
      </c>
      <c r="D38" s="37" t="s">
        <v>171</v>
      </c>
      <c r="E38" s="22" t="s">
        <v>68</v>
      </c>
      <c r="F38" s="25" t="s">
        <v>77</v>
      </c>
    </row>
    <row r="39" spans="1:6" x14ac:dyDescent="0.3">
      <c r="A39" s="44" t="s">
        <v>16</v>
      </c>
      <c r="B39" s="37" t="s">
        <v>145</v>
      </c>
      <c r="C39" s="29" t="s">
        <v>70</v>
      </c>
      <c r="D39" s="37" t="s">
        <v>172</v>
      </c>
      <c r="E39" s="22" t="s">
        <v>68</v>
      </c>
      <c r="F39" s="23" t="s">
        <v>69</v>
      </c>
    </row>
    <row r="40" spans="1:6" x14ac:dyDescent="0.3">
      <c r="A40" s="44" t="s">
        <v>19</v>
      </c>
      <c r="B40" s="37" t="s">
        <v>145</v>
      </c>
      <c r="C40" s="29" t="s">
        <v>70</v>
      </c>
      <c r="D40" s="37" t="s">
        <v>179</v>
      </c>
      <c r="E40" s="26" t="s">
        <v>84</v>
      </c>
      <c r="F40" s="23" t="s">
        <v>69</v>
      </c>
    </row>
    <row r="41" spans="1:6" x14ac:dyDescent="0.3">
      <c r="A41" s="44" t="s">
        <v>19</v>
      </c>
      <c r="B41" s="37" t="s">
        <v>145</v>
      </c>
      <c r="C41" s="29" t="s">
        <v>72</v>
      </c>
      <c r="D41" s="37" t="s">
        <v>180</v>
      </c>
      <c r="E41" s="22" t="s">
        <v>68</v>
      </c>
      <c r="F41" s="23" t="s">
        <v>69</v>
      </c>
    </row>
    <row r="42" spans="1:6" x14ac:dyDescent="0.3">
      <c r="A42" s="44" t="s">
        <v>17</v>
      </c>
      <c r="B42" s="37" t="s">
        <v>145</v>
      </c>
      <c r="C42" s="29"/>
      <c r="D42" s="37" t="s">
        <v>187</v>
      </c>
      <c r="E42" s="22" t="s">
        <v>68</v>
      </c>
      <c r="F42" s="23" t="s">
        <v>69</v>
      </c>
    </row>
    <row r="43" spans="1:6" x14ac:dyDescent="0.3">
      <c r="A43" s="44" t="s">
        <v>45</v>
      </c>
      <c r="B43" s="37" t="s">
        <v>145</v>
      </c>
      <c r="C43" s="29"/>
      <c r="D43" s="37" t="s">
        <v>192</v>
      </c>
      <c r="E43" s="22" t="s">
        <v>68</v>
      </c>
      <c r="F43" s="23" t="s">
        <v>69</v>
      </c>
    </row>
    <row r="44" spans="1:6" x14ac:dyDescent="0.3">
      <c r="A44" s="44" t="s">
        <v>47</v>
      </c>
      <c r="B44" s="37" t="s">
        <v>145</v>
      </c>
      <c r="C44" s="29"/>
      <c r="D44" s="37" t="s">
        <v>197</v>
      </c>
      <c r="E44" s="26" t="s">
        <v>84</v>
      </c>
      <c r="F44" s="23" t="s">
        <v>69</v>
      </c>
    </row>
    <row r="45" spans="1:6" x14ac:dyDescent="0.3">
      <c r="A45" s="44" t="s">
        <v>56</v>
      </c>
      <c r="B45" s="37" t="s">
        <v>145</v>
      </c>
      <c r="C45" s="29"/>
      <c r="D45" s="37" t="s">
        <v>202</v>
      </c>
      <c r="E45" s="22" t="s">
        <v>68</v>
      </c>
      <c r="F45" s="23" t="s">
        <v>69</v>
      </c>
    </row>
    <row r="46" spans="1:6" x14ac:dyDescent="0.3">
      <c r="A46" s="44" t="s">
        <v>48</v>
      </c>
      <c r="B46" s="37" t="s">
        <v>145</v>
      </c>
      <c r="C46" s="29"/>
      <c r="D46" s="37" t="s">
        <v>207</v>
      </c>
      <c r="E46" s="22" t="s">
        <v>68</v>
      </c>
      <c r="F46" s="25" t="s">
        <v>77</v>
      </c>
    </row>
    <row r="48" spans="1:6" ht="18" customHeight="1" x14ac:dyDescent="0.3">
      <c r="A48" s="82" t="s">
        <v>216</v>
      </c>
      <c r="B48" s="82"/>
      <c r="C48" s="82"/>
      <c r="D48" s="82"/>
      <c r="E48" s="82"/>
      <c r="F48" s="82"/>
    </row>
    <row r="49" spans="1:6" x14ac:dyDescent="0.3">
      <c r="A49" s="42" t="s">
        <v>0</v>
      </c>
      <c r="B49" s="42" t="s">
        <v>60</v>
      </c>
      <c r="C49" s="42" t="s">
        <v>61</v>
      </c>
      <c r="D49" s="42" t="s">
        <v>63</v>
      </c>
      <c r="E49" s="42" t="s">
        <v>64</v>
      </c>
      <c r="F49" s="42" t="s">
        <v>65</v>
      </c>
    </row>
    <row r="50" spans="1:6" x14ac:dyDescent="0.3">
      <c r="A50" s="45" t="s">
        <v>5</v>
      </c>
      <c r="B50" s="37" t="s">
        <v>28</v>
      </c>
      <c r="C50" s="29" t="s">
        <v>70</v>
      </c>
      <c r="D50" s="37" t="s">
        <v>80</v>
      </c>
      <c r="E50" s="22" t="s">
        <v>68</v>
      </c>
      <c r="F50" s="23" t="s">
        <v>69</v>
      </c>
    </row>
    <row r="51" spans="1:6" x14ac:dyDescent="0.3">
      <c r="A51" s="45" t="s">
        <v>5</v>
      </c>
      <c r="B51" s="37" t="s">
        <v>28</v>
      </c>
      <c r="C51" s="29" t="s">
        <v>72</v>
      </c>
      <c r="D51" s="37" t="s">
        <v>81</v>
      </c>
      <c r="E51" s="22" t="s">
        <v>68</v>
      </c>
      <c r="F51" s="23" t="s">
        <v>69</v>
      </c>
    </row>
    <row r="52" spans="1:6" x14ac:dyDescent="0.3">
      <c r="A52" s="45" t="s">
        <v>5</v>
      </c>
      <c r="B52" s="37" t="s">
        <v>28</v>
      </c>
      <c r="C52" s="29" t="s">
        <v>82</v>
      </c>
      <c r="D52" s="37" t="s">
        <v>83</v>
      </c>
      <c r="E52" s="26" t="s">
        <v>84</v>
      </c>
      <c r="F52" s="23" t="s">
        <v>69</v>
      </c>
    </row>
    <row r="53" spans="1:6" x14ac:dyDescent="0.3">
      <c r="A53" s="45" t="s">
        <v>5</v>
      </c>
      <c r="B53" s="37" t="s">
        <v>28</v>
      </c>
      <c r="C53" s="29" t="s">
        <v>85</v>
      </c>
      <c r="D53" s="37" t="s">
        <v>86</v>
      </c>
      <c r="E53" s="22" t="s">
        <v>68</v>
      </c>
      <c r="F53" s="39" t="s">
        <v>87</v>
      </c>
    </row>
    <row r="54" spans="1:6" x14ac:dyDescent="0.3">
      <c r="A54" s="45" t="s">
        <v>5</v>
      </c>
      <c r="B54" s="37" t="s">
        <v>28</v>
      </c>
      <c r="C54" s="29" t="s">
        <v>88</v>
      </c>
      <c r="D54" s="37" t="s">
        <v>89</v>
      </c>
      <c r="E54" s="22" t="s">
        <v>68</v>
      </c>
      <c r="F54" s="39" t="s">
        <v>87</v>
      </c>
    </row>
    <row r="55" spans="1:6" x14ac:dyDescent="0.3">
      <c r="A55" s="45" t="s">
        <v>5</v>
      </c>
      <c r="B55" s="37" t="s">
        <v>90</v>
      </c>
      <c r="C55" s="29"/>
      <c r="D55" s="37" t="s">
        <v>91</v>
      </c>
      <c r="E55" s="22" t="s">
        <v>68</v>
      </c>
      <c r="F55" s="39" t="s">
        <v>87</v>
      </c>
    </row>
    <row r="56" spans="1:6" x14ac:dyDescent="0.3">
      <c r="A56" s="45" t="s">
        <v>5</v>
      </c>
      <c r="B56" s="37" t="s">
        <v>32</v>
      </c>
      <c r="C56" s="29"/>
      <c r="D56" s="37" t="s">
        <v>92</v>
      </c>
      <c r="E56" s="26" t="s">
        <v>84</v>
      </c>
      <c r="F56" s="39" t="s">
        <v>87</v>
      </c>
    </row>
    <row r="57" spans="1:6" x14ac:dyDescent="0.3">
      <c r="A57" s="45" t="s">
        <v>5</v>
      </c>
      <c r="B57" s="37" t="s">
        <v>29</v>
      </c>
      <c r="C57" s="29" t="s">
        <v>70</v>
      </c>
      <c r="D57" s="37" t="s">
        <v>93</v>
      </c>
      <c r="E57" s="26" t="s">
        <v>84</v>
      </c>
      <c r="F57" s="39" t="s">
        <v>87</v>
      </c>
    </row>
    <row r="58" spans="1:6" x14ac:dyDescent="0.3">
      <c r="A58" s="45" t="s">
        <v>5</v>
      </c>
      <c r="B58" s="37" t="s">
        <v>29</v>
      </c>
      <c r="C58" s="29" t="s">
        <v>72</v>
      </c>
      <c r="D58" s="37" t="s">
        <v>94</v>
      </c>
      <c r="E58" s="26" t="s">
        <v>84</v>
      </c>
      <c r="F58" s="25" t="s">
        <v>77</v>
      </c>
    </row>
    <row r="59" spans="1:6" x14ac:dyDescent="0.3">
      <c r="A59" s="45" t="s">
        <v>5</v>
      </c>
      <c r="B59" s="37" t="s">
        <v>29</v>
      </c>
      <c r="C59" s="29" t="s">
        <v>82</v>
      </c>
      <c r="D59" s="37" t="s">
        <v>95</v>
      </c>
      <c r="E59" s="22" t="s">
        <v>68</v>
      </c>
      <c r="F59" s="39" t="s">
        <v>87</v>
      </c>
    </row>
    <row r="60" spans="1:6" x14ac:dyDescent="0.3">
      <c r="A60" s="45" t="s">
        <v>5</v>
      </c>
      <c r="B60" s="37" t="s">
        <v>29</v>
      </c>
      <c r="C60" s="29" t="s">
        <v>85</v>
      </c>
      <c r="D60" s="37" t="s">
        <v>96</v>
      </c>
      <c r="E60" s="26" t="s">
        <v>84</v>
      </c>
      <c r="F60" s="25" t="s">
        <v>77</v>
      </c>
    </row>
    <row r="61" spans="1:6" x14ac:dyDescent="0.3">
      <c r="A61" s="45" t="s">
        <v>5</v>
      </c>
      <c r="B61" s="37" t="s">
        <v>97</v>
      </c>
      <c r="C61" s="29" t="s">
        <v>98</v>
      </c>
      <c r="D61" s="37" t="s">
        <v>99</v>
      </c>
      <c r="E61" s="22" t="s">
        <v>68</v>
      </c>
      <c r="F61" s="25" t="s">
        <v>77</v>
      </c>
    </row>
    <row r="62" spans="1:6" x14ac:dyDescent="0.3">
      <c r="A62" s="45" t="s">
        <v>5</v>
      </c>
      <c r="B62" s="37" t="s">
        <v>97</v>
      </c>
      <c r="C62" s="29" t="s">
        <v>88</v>
      </c>
      <c r="D62" s="37" t="s">
        <v>100</v>
      </c>
      <c r="E62" s="22" t="s">
        <v>68</v>
      </c>
      <c r="F62" s="25" t="s">
        <v>77</v>
      </c>
    </row>
    <row r="63" spans="1:6" x14ac:dyDescent="0.3">
      <c r="A63" s="45" t="s">
        <v>5</v>
      </c>
      <c r="B63" s="37" t="s">
        <v>97</v>
      </c>
      <c r="C63" s="29" t="s">
        <v>101</v>
      </c>
      <c r="D63" s="37" t="s">
        <v>102</v>
      </c>
      <c r="E63" s="26" t="s">
        <v>84</v>
      </c>
      <c r="F63" s="25" t="s">
        <v>77</v>
      </c>
    </row>
    <row r="64" spans="1:6" x14ac:dyDescent="0.3">
      <c r="A64" s="45" t="s">
        <v>5</v>
      </c>
      <c r="B64" s="37" t="s">
        <v>97</v>
      </c>
      <c r="C64" s="29" t="s">
        <v>103</v>
      </c>
      <c r="D64" s="37" t="s">
        <v>104</v>
      </c>
      <c r="E64" s="26" t="s">
        <v>84</v>
      </c>
      <c r="F64" s="25" t="s">
        <v>77</v>
      </c>
    </row>
    <row r="65" spans="1:6" x14ac:dyDescent="0.3">
      <c r="A65" s="45" t="s">
        <v>5</v>
      </c>
      <c r="B65" s="37" t="s">
        <v>97</v>
      </c>
      <c r="C65" s="29" t="s">
        <v>105</v>
      </c>
      <c r="D65" s="37" t="s">
        <v>106</v>
      </c>
      <c r="E65" s="22" t="s">
        <v>68</v>
      </c>
      <c r="F65" s="25" t="s">
        <v>77</v>
      </c>
    </row>
    <row r="66" spans="1:6" x14ac:dyDescent="0.3">
      <c r="A66" s="45" t="s">
        <v>5</v>
      </c>
      <c r="B66" s="37" t="s">
        <v>97</v>
      </c>
      <c r="C66" s="29" t="s">
        <v>107</v>
      </c>
      <c r="D66" s="37" t="s">
        <v>108</v>
      </c>
      <c r="E66" s="26" t="s">
        <v>84</v>
      </c>
      <c r="F66" s="39" t="s">
        <v>87</v>
      </c>
    </row>
    <row r="67" spans="1:6" x14ac:dyDescent="0.3">
      <c r="A67" s="45" t="s">
        <v>5</v>
      </c>
      <c r="B67" s="37" t="s">
        <v>109</v>
      </c>
      <c r="C67" s="29"/>
      <c r="D67" s="37" t="s">
        <v>110</v>
      </c>
      <c r="E67" s="22" t="s">
        <v>68</v>
      </c>
      <c r="F67" s="23" t="s">
        <v>69</v>
      </c>
    </row>
    <row r="68" spans="1:6" x14ac:dyDescent="0.3">
      <c r="A68" s="45" t="s">
        <v>5</v>
      </c>
      <c r="B68" s="37" t="s">
        <v>111</v>
      </c>
      <c r="C68" s="29" t="s">
        <v>70</v>
      </c>
      <c r="D68" s="37" t="s">
        <v>112</v>
      </c>
      <c r="E68" s="26" t="s">
        <v>84</v>
      </c>
      <c r="F68" s="39" t="s">
        <v>87</v>
      </c>
    </row>
    <row r="69" spans="1:6" x14ac:dyDescent="0.3">
      <c r="A69" s="45" t="s">
        <v>5</v>
      </c>
      <c r="B69" s="37" t="s">
        <v>111</v>
      </c>
      <c r="C69" s="29" t="s">
        <v>72</v>
      </c>
      <c r="D69" s="37" t="s">
        <v>113</v>
      </c>
      <c r="E69" s="22" t="s">
        <v>68</v>
      </c>
      <c r="F69" s="39" t="s">
        <v>87</v>
      </c>
    </row>
    <row r="70" spans="1:6" ht="22.8" x14ac:dyDescent="0.3">
      <c r="A70" s="45" t="s">
        <v>5</v>
      </c>
      <c r="B70" s="37" t="s">
        <v>114</v>
      </c>
      <c r="C70" s="29" t="s">
        <v>88</v>
      </c>
      <c r="D70" s="37" t="s">
        <v>115</v>
      </c>
      <c r="E70" s="26" t="s">
        <v>84</v>
      </c>
      <c r="F70" s="39" t="s">
        <v>87</v>
      </c>
    </row>
    <row r="71" spans="1:6" x14ac:dyDescent="0.3">
      <c r="A71" s="45" t="s">
        <v>5</v>
      </c>
      <c r="B71" s="37" t="s">
        <v>114</v>
      </c>
      <c r="C71" s="29" t="s">
        <v>101</v>
      </c>
      <c r="D71" s="37" t="s">
        <v>116</v>
      </c>
      <c r="E71" s="22" t="s">
        <v>68</v>
      </c>
      <c r="F71" s="23" t="s">
        <v>69</v>
      </c>
    </row>
    <row r="72" spans="1:6" ht="22.8" x14ac:dyDescent="0.3">
      <c r="A72" s="45" t="s">
        <v>5</v>
      </c>
      <c r="B72" s="37" t="s">
        <v>117</v>
      </c>
      <c r="C72" s="29" t="s">
        <v>70</v>
      </c>
      <c r="D72" s="37" t="s">
        <v>118</v>
      </c>
      <c r="E72" s="26" t="s">
        <v>84</v>
      </c>
      <c r="F72" s="39" t="s">
        <v>87</v>
      </c>
    </row>
    <row r="73" spans="1:6" ht="22.8" x14ac:dyDescent="0.3">
      <c r="A73" s="45" t="s">
        <v>5</v>
      </c>
      <c r="B73" s="37" t="s">
        <v>117</v>
      </c>
      <c r="C73" s="29" t="s">
        <v>72</v>
      </c>
      <c r="D73" s="37" t="s">
        <v>119</v>
      </c>
      <c r="E73" s="26" t="s">
        <v>84</v>
      </c>
      <c r="F73" s="39" t="s">
        <v>87</v>
      </c>
    </row>
    <row r="74" spans="1:6" x14ac:dyDescent="0.3">
      <c r="A74" s="45" t="s">
        <v>5</v>
      </c>
      <c r="B74" s="37" t="s">
        <v>117</v>
      </c>
      <c r="C74" s="29" t="s">
        <v>82</v>
      </c>
      <c r="D74" s="37" t="s">
        <v>120</v>
      </c>
      <c r="E74" s="22" t="s">
        <v>68</v>
      </c>
      <c r="F74" s="39" t="s">
        <v>87</v>
      </c>
    </row>
    <row r="75" spans="1:6" x14ac:dyDescent="0.3">
      <c r="A75" s="45" t="s">
        <v>5</v>
      </c>
      <c r="B75" s="37" t="s">
        <v>121</v>
      </c>
      <c r="C75" s="29" t="s">
        <v>70</v>
      </c>
      <c r="D75" s="37" t="s">
        <v>122</v>
      </c>
      <c r="E75" s="22" t="s">
        <v>68</v>
      </c>
      <c r="F75" s="23" t="s">
        <v>69</v>
      </c>
    </row>
    <row r="76" spans="1:6" x14ac:dyDescent="0.3">
      <c r="A76" s="45" t="s">
        <v>5</v>
      </c>
      <c r="B76" s="37" t="s">
        <v>121</v>
      </c>
      <c r="C76" s="29" t="s">
        <v>72</v>
      </c>
      <c r="D76" s="37" t="s">
        <v>123</v>
      </c>
      <c r="E76" s="22" t="s">
        <v>68</v>
      </c>
      <c r="F76" s="39" t="s">
        <v>87</v>
      </c>
    </row>
    <row r="77" spans="1:6" x14ac:dyDescent="0.3">
      <c r="A77" s="45" t="s">
        <v>5</v>
      </c>
      <c r="B77" s="37" t="s">
        <v>121</v>
      </c>
      <c r="C77" s="29" t="s">
        <v>82</v>
      </c>
      <c r="D77" s="37" t="s">
        <v>124</v>
      </c>
      <c r="E77" s="22" t="s">
        <v>68</v>
      </c>
      <c r="F77" s="23" t="s">
        <v>69</v>
      </c>
    </row>
    <row r="78" spans="1:6" x14ac:dyDescent="0.3">
      <c r="A78" s="45" t="s">
        <v>5</v>
      </c>
      <c r="B78" s="37" t="s">
        <v>121</v>
      </c>
      <c r="C78" s="29" t="s">
        <v>85</v>
      </c>
      <c r="D78" s="37" t="s">
        <v>125</v>
      </c>
      <c r="E78" s="26" t="s">
        <v>84</v>
      </c>
      <c r="F78" s="39" t="s">
        <v>87</v>
      </c>
    </row>
    <row r="79" spans="1:6" x14ac:dyDescent="0.3">
      <c r="A79" s="45" t="s">
        <v>5</v>
      </c>
      <c r="B79" s="37" t="s">
        <v>126</v>
      </c>
      <c r="C79" s="29" t="s">
        <v>70</v>
      </c>
      <c r="D79" s="37" t="s">
        <v>127</v>
      </c>
      <c r="E79" s="22" t="s">
        <v>68</v>
      </c>
      <c r="F79" s="39" t="s">
        <v>87</v>
      </c>
    </row>
    <row r="80" spans="1:6" x14ac:dyDescent="0.3">
      <c r="A80" s="45" t="s">
        <v>5</v>
      </c>
      <c r="B80" s="37" t="s">
        <v>126</v>
      </c>
      <c r="C80" s="29" t="s">
        <v>72</v>
      </c>
      <c r="D80" s="37" t="s">
        <v>128</v>
      </c>
      <c r="E80" s="22" t="s">
        <v>68</v>
      </c>
      <c r="F80" s="23" t="s">
        <v>69</v>
      </c>
    </row>
    <row r="81" spans="1:6" x14ac:dyDescent="0.3">
      <c r="A81" s="45" t="s">
        <v>5</v>
      </c>
      <c r="B81" s="37" t="s">
        <v>126</v>
      </c>
      <c r="C81" s="29" t="s">
        <v>82</v>
      </c>
      <c r="D81" s="37" t="s">
        <v>129</v>
      </c>
      <c r="E81" s="26" t="s">
        <v>84</v>
      </c>
      <c r="F81" s="23" t="s">
        <v>69</v>
      </c>
    </row>
    <row r="82" spans="1:6" x14ac:dyDescent="0.3">
      <c r="A82" s="45" t="s">
        <v>5</v>
      </c>
      <c r="B82" s="37" t="s">
        <v>126</v>
      </c>
      <c r="C82" s="29" t="s">
        <v>85</v>
      </c>
      <c r="D82" s="37" t="s">
        <v>130</v>
      </c>
      <c r="E82" s="26" t="s">
        <v>84</v>
      </c>
      <c r="F82" s="25" t="s">
        <v>77</v>
      </c>
    </row>
    <row r="83" spans="1:6" x14ac:dyDescent="0.3">
      <c r="A83" s="45" t="s">
        <v>5</v>
      </c>
      <c r="B83" s="37" t="s">
        <v>131</v>
      </c>
      <c r="C83" s="29"/>
      <c r="D83" s="37" t="s">
        <v>132</v>
      </c>
      <c r="E83" s="22" t="s">
        <v>68</v>
      </c>
      <c r="F83" s="39" t="s">
        <v>87</v>
      </c>
    </row>
    <row r="84" spans="1:6" x14ac:dyDescent="0.3">
      <c r="A84" s="45" t="s">
        <v>16</v>
      </c>
      <c r="B84" s="37" t="s">
        <v>28</v>
      </c>
      <c r="C84" s="29"/>
      <c r="D84" s="37" t="s">
        <v>166</v>
      </c>
      <c r="E84" s="22" t="s">
        <v>68</v>
      </c>
      <c r="F84" s="23" t="s">
        <v>69</v>
      </c>
    </row>
    <row r="85" spans="1:6" x14ac:dyDescent="0.3">
      <c r="A85" s="45" t="s">
        <v>16</v>
      </c>
      <c r="B85" s="37" t="s">
        <v>97</v>
      </c>
      <c r="C85" s="29"/>
      <c r="D85" s="37" t="s">
        <v>167</v>
      </c>
      <c r="E85" s="22" t="s">
        <v>68</v>
      </c>
      <c r="F85" s="25" t="s">
        <v>77</v>
      </c>
    </row>
    <row r="86" spans="1:6" x14ac:dyDescent="0.3">
      <c r="A86" s="45" t="s">
        <v>16</v>
      </c>
      <c r="B86" s="37" t="s">
        <v>121</v>
      </c>
      <c r="C86" s="29" t="s">
        <v>70</v>
      </c>
      <c r="D86" s="37" t="s">
        <v>168</v>
      </c>
      <c r="E86" s="26" t="s">
        <v>84</v>
      </c>
      <c r="F86" s="23" t="s">
        <v>69</v>
      </c>
    </row>
    <row r="87" spans="1:6" x14ac:dyDescent="0.3">
      <c r="A87" s="45" t="s">
        <v>16</v>
      </c>
      <c r="B87" s="37" t="s">
        <v>121</v>
      </c>
      <c r="C87" s="29" t="s">
        <v>72</v>
      </c>
      <c r="D87" s="37" t="s">
        <v>169</v>
      </c>
      <c r="E87" s="22" t="s">
        <v>68</v>
      </c>
      <c r="F87" s="23" t="s">
        <v>69</v>
      </c>
    </row>
    <row r="88" spans="1:6" x14ac:dyDescent="0.3">
      <c r="A88" s="45" t="s">
        <v>16</v>
      </c>
      <c r="B88" s="37" t="s">
        <v>121</v>
      </c>
      <c r="C88" s="29" t="s">
        <v>82</v>
      </c>
      <c r="D88" s="37" t="s">
        <v>170</v>
      </c>
      <c r="E88" s="22" t="s">
        <v>68</v>
      </c>
      <c r="F88" s="23" t="s">
        <v>69</v>
      </c>
    </row>
    <row r="89" spans="1:6" x14ac:dyDescent="0.3">
      <c r="A89" s="45" t="s">
        <v>19</v>
      </c>
      <c r="B89" s="37" t="s">
        <v>28</v>
      </c>
      <c r="C89" s="29"/>
      <c r="D89" s="37" t="s">
        <v>175</v>
      </c>
      <c r="E89" s="22" t="s">
        <v>68</v>
      </c>
      <c r="F89" s="23" t="s">
        <v>69</v>
      </c>
    </row>
    <row r="90" spans="1:6" x14ac:dyDescent="0.3">
      <c r="A90" s="45" t="s">
        <v>19</v>
      </c>
      <c r="B90" s="37" t="s">
        <v>29</v>
      </c>
      <c r="C90" s="29"/>
      <c r="D90" s="37" t="s">
        <v>176</v>
      </c>
      <c r="E90" s="26" t="s">
        <v>84</v>
      </c>
      <c r="F90" s="25" t="s">
        <v>77</v>
      </c>
    </row>
    <row r="91" spans="1:6" x14ac:dyDescent="0.3">
      <c r="A91" s="45" t="s">
        <v>19</v>
      </c>
      <c r="B91" s="37" t="s">
        <v>121</v>
      </c>
      <c r="C91" s="29" t="s">
        <v>70</v>
      </c>
      <c r="D91" s="37" t="s">
        <v>177</v>
      </c>
      <c r="E91" s="22" t="s">
        <v>68</v>
      </c>
      <c r="F91" s="23" t="s">
        <v>69</v>
      </c>
    </row>
    <row r="92" spans="1:6" x14ac:dyDescent="0.3">
      <c r="A92" s="45" t="s">
        <v>19</v>
      </c>
      <c r="B92" s="37" t="s">
        <v>121</v>
      </c>
      <c r="C92" s="29" t="s">
        <v>72</v>
      </c>
      <c r="D92" s="37" t="s">
        <v>178</v>
      </c>
      <c r="E92" s="22" t="s">
        <v>68</v>
      </c>
      <c r="F92" s="23" t="s">
        <v>69</v>
      </c>
    </row>
    <row r="93" spans="1:6" x14ac:dyDescent="0.3">
      <c r="A93" s="45" t="s">
        <v>17</v>
      </c>
      <c r="B93" s="37" t="s">
        <v>28</v>
      </c>
      <c r="C93" s="29"/>
      <c r="D93" s="37" t="s">
        <v>183</v>
      </c>
      <c r="E93" s="22" t="s">
        <v>68</v>
      </c>
      <c r="F93" s="23" t="s">
        <v>69</v>
      </c>
    </row>
    <row r="94" spans="1:6" x14ac:dyDescent="0.3">
      <c r="A94" s="45" t="s">
        <v>17</v>
      </c>
      <c r="B94" s="37" t="s">
        <v>184</v>
      </c>
      <c r="C94" s="29"/>
      <c r="D94" s="37" t="s">
        <v>185</v>
      </c>
      <c r="E94" s="22" t="s">
        <v>68</v>
      </c>
      <c r="F94" s="39" t="s">
        <v>87</v>
      </c>
    </row>
    <row r="95" spans="1:6" x14ac:dyDescent="0.3">
      <c r="A95" s="45" t="s">
        <v>17</v>
      </c>
      <c r="B95" s="37" t="s">
        <v>121</v>
      </c>
      <c r="C95" s="29"/>
      <c r="D95" s="37" t="s">
        <v>186</v>
      </c>
      <c r="E95" s="22" t="s">
        <v>68</v>
      </c>
      <c r="F95" s="23" t="s">
        <v>69</v>
      </c>
    </row>
    <row r="96" spans="1:6" x14ac:dyDescent="0.3">
      <c r="A96" s="45" t="s">
        <v>45</v>
      </c>
      <c r="B96" s="37" t="s">
        <v>28</v>
      </c>
      <c r="C96" s="29"/>
      <c r="D96" s="37" t="s">
        <v>190</v>
      </c>
      <c r="E96" s="26" t="s">
        <v>84</v>
      </c>
      <c r="F96" s="39" t="s">
        <v>87</v>
      </c>
    </row>
    <row r="97" spans="1:6" x14ac:dyDescent="0.3">
      <c r="A97" s="45" t="s">
        <v>45</v>
      </c>
      <c r="B97" s="37" t="s">
        <v>121</v>
      </c>
      <c r="C97" s="29"/>
      <c r="D97" s="37" t="s">
        <v>191</v>
      </c>
      <c r="E97" s="22" t="s">
        <v>68</v>
      </c>
      <c r="F97" s="25" t="s">
        <v>77</v>
      </c>
    </row>
    <row r="98" spans="1:6" x14ac:dyDescent="0.3">
      <c r="A98" s="45" t="s">
        <v>47</v>
      </c>
      <c r="B98" s="37" t="s">
        <v>28</v>
      </c>
      <c r="C98" s="29"/>
      <c r="D98" s="37" t="s">
        <v>195</v>
      </c>
      <c r="E98" s="22" t="s">
        <v>68</v>
      </c>
      <c r="F98" s="23" t="s">
        <v>69</v>
      </c>
    </row>
    <row r="99" spans="1:6" x14ac:dyDescent="0.3">
      <c r="A99" s="45" t="s">
        <v>47</v>
      </c>
      <c r="B99" s="37" t="s">
        <v>121</v>
      </c>
      <c r="C99" s="29"/>
      <c r="D99" s="37" t="s">
        <v>196</v>
      </c>
      <c r="E99" s="26" t="s">
        <v>84</v>
      </c>
      <c r="F99" s="23" t="s">
        <v>69</v>
      </c>
    </row>
    <row r="100" spans="1:6" x14ac:dyDescent="0.3">
      <c r="A100" s="45" t="s">
        <v>56</v>
      </c>
      <c r="B100" s="37" t="s">
        <v>28</v>
      </c>
      <c r="C100" s="29"/>
      <c r="D100" s="37" t="s">
        <v>200</v>
      </c>
      <c r="E100" s="22" t="s">
        <v>68</v>
      </c>
      <c r="F100" s="39" t="s">
        <v>87</v>
      </c>
    </row>
    <row r="101" spans="1:6" x14ac:dyDescent="0.3">
      <c r="A101" s="45" t="s">
        <v>56</v>
      </c>
      <c r="B101" s="37" t="s">
        <v>121</v>
      </c>
      <c r="C101" s="29"/>
      <c r="D101" s="37" t="s">
        <v>201</v>
      </c>
      <c r="E101" s="22" t="s">
        <v>68</v>
      </c>
      <c r="F101" s="23" t="s">
        <v>69</v>
      </c>
    </row>
    <row r="102" spans="1:6" x14ac:dyDescent="0.3">
      <c r="A102" s="45" t="s">
        <v>48</v>
      </c>
      <c r="B102" s="37" t="s">
        <v>28</v>
      </c>
      <c r="C102" s="29"/>
      <c r="D102" s="37" t="s">
        <v>205</v>
      </c>
      <c r="E102" s="22" t="s">
        <v>68</v>
      </c>
      <c r="F102" s="39" t="s">
        <v>87</v>
      </c>
    </row>
    <row r="103" spans="1:6" x14ac:dyDescent="0.3">
      <c r="A103" s="45" t="s">
        <v>48</v>
      </c>
      <c r="B103" s="37" t="s">
        <v>121</v>
      </c>
      <c r="C103" s="29"/>
      <c r="D103" s="37" t="s">
        <v>206</v>
      </c>
      <c r="E103" s="26" t="s">
        <v>84</v>
      </c>
      <c r="F103" s="23" t="s">
        <v>69</v>
      </c>
    </row>
    <row r="105" spans="1:6" ht="18" customHeight="1" x14ac:dyDescent="0.3">
      <c r="A105" s="86" t="s">
        <v>217</v>
      </c>
      <c r="B105" s="86"/>
      <c r="C105" s="86"/>
      <c r="D105" s="86"/>
      <c r="E105" s="86"/>
      <c r="F105" s="86"/>
    </row>
    <row r="106" spans="1:6" x14ac:dyDescent="0.3">
      <c r="A106" s="42" t="s">
        <v>0</v>
      </c>
      <c r="B106" s="42" t="s">
        <v>60</v>
      </c>
      <c r="C106" s="42" t="s">
        <v>61</v>
      </c>
      <c r="D106" s="42" t="s">
        <v>63</v>
      </c>
      <c r="E106" s="42" t="s">
        <v>64</v>
      </c>
      <c r="F106" s="42" t="s">
        <v>65</v>
      </c>
    </row>
    <row r="107" spans="1:6" x14ac:dyDescent="0.3">
      <c r="A107" s="46" t="s">
        <v>5</v>
      </c>
      <c r="B107" s="37" t="s">
        <v>28</v>
      </c>
      <c r="C107" s="29"/>
      <c r="D107" s="37" t="s">
        <v>67</v>
      </c>
      <c r="E107" s="22" t="s">
        <v>68</v>
      </c>
      <c r="F107" s="23" t="s">
        <v>69</v>
      </c>
    </row>
    <row r="108" spans="1:6" x14ac:dyDescent="0.3">
      <c r="A108" s="46" t="s">
        <v>5</v>
      </c>
      <c r="B108" s="37" t="s">
        <v>30</v>
      </c>
      <c r="C108" s="29" t="s">
        <v>70</v>
      </c>
      <c r="D108" s="37" t="s">
        <v>71</v>
      </c>
      <c r="E108" s="22" t="s">
        <v>68</v>
      </c>
      <c r="F108" s="23" t="s">
        <v>69</v>
      </c>
    </row>
    <row r="109" spans="1:6" x14ac:dyDescent="0.3">
      <c r="A109" s="46" t="s">
        <v>5</v>
      </c>
      <c r="B109" s="37" t="s">
        <v>30</v>
      </c>
      <c r="C109" s="29" t="s">
        <v>72</v>
      </c>
      <c r="D109" s="37" t="s">
        <v>73</v>
      </c>
      <c r="E109" s="22" t="s">
        <v>68</v>
      </c>
      <c r="F109" s="23" t="s">
        <v>69</v>
      </c>
    </row>
    <row r="110" spans="1:6" x14ac:dyDescent="0.3">
      <c r="A110" s="46" t="s">
        <v>5</v>
      </c>
      <c r="B110" s="37" t="s">
        <v>74</v>
      </c>
      <c r="C110" s="29" t="s">
        <v>70</v>
      </c>
      <c r="D110" s="37" t="s">
        <v>75</v>
      </c>
      <c r="E110" s="22" t="s">
        <v>68</v>
      </c>
      <c r="F110" s="23" t="s">
        <v>69</v>
      </c>
    </row>
    <row r="111" spans="1:6" x14ac:dyDescent="0.3">
      <c r="A111" s="46" t="s">
        <v>5</v>
      </c>
      <c r="B111" s="37" t="s">
        <v>74</v>
      </c>
      <c r="C111" s="29" t="s">
        <v>72</v>
      </c>
      <c r="D111" s="37" t="s">
        <v>76</v>
      </c>
      <c r="E111" s="22" t="s">
        <v>68</v>
      </c>
      <c r="F111" s="25" t="s">
        <v>77</v>
      </c>
    </row>
    <row r="112" spans="1:6" ht="22.8" x14ac:dyDescent="0.3">
      <c r="A112" s="46" t="s">
        <v>5</v>
      </c>
      <c r="B112" s="37" t="s">
        <v>78</v>
      </c>
      <c r="C112" s="29"/>
      <c r="D112" s="37" t="s">
        <v>79</v>
      </c>
      <c r="E112" s="22" t="s">
        <v>68</v>
      </c>
      <c r="F112" s="23" t="s">
        <v>69</v>
      </c>
    </row>
    <row r="113" spans="1:6" x14ac:dyDescent="0.3">
      <c r="A113" s="46" t="s">
        <v>16</v>
      </c>
      <c r="B113" s="37" t="s">
        <v>164</v>
      </c>
      <c r="C113" s="29"/>
      <c r="D113" s="37" t="s">
        <v>165</v>
      </c>
      <c r="E113" s="22" t="s">
        <v>68</v>
      </c>
      <c r="F113" s="23" t="s">
        <v>69</v>
      </c>
    </row>
    <row r="116" spans="1:6" ht="15" customHeight="1" x14ac:dyDescent="0.3">
      <c r="A116" s="87" t="s">
        <v>218</v>
      </c>
      <c r="B116" s="87"/>
      <c r="C116" s="87"/>
      <c r="D116" s="87"/>
      <c r="E116" s="87"/>
      <c r="F116" s="87"/>
    </row>
  </sheetData>
  <mergeCells count="6">
    <mergeCell ref="A116:F116"/>
    <mergeCell ref="A1:F1"/>
    <mergeCell ref="A2:F2"/>
    <mergeCell ref="A25:F25"/>
    <mergeCell ref="A48:F48"/>
    <mergeCell ref="A105:F10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67DB2-5056-48A6-BB18-8F530E95D0E8}">
  <sheetPr>
    <tabColor theme="5" tint="0.59999389629810485"/>
  </sheetPr>
  <dimension ref="A1:I103"/>
  <sheetViews>
    <sheetView zoomScaleNormal="100" workbookViewId="0">
      <selection activeCell="H20" sqref="H20"/>
    </sheetView>
  </sheetViews>
  <sheetFormatPr baseColWidth="10" defaultColWidth="8.6640625" defaultRowHeight="14.4" x14ac:dyDescent="0.3"/>
  <cols>
    <col min="1" max="1" width="14" style="2" customWidth="1"/>
    <col min="2" max="2" width="20" style="2" customWidth="1"/>
    <col min="3" max="3" width="10" style="2" customWidth="1"/>
    <col min="4" max="4" width="22" style="2" customWidth="1"/>
    <col min="5" max="5" width="6" style="2" customWidth="1"/>
    <col min="6" max="6" width="38" style="2" customWidth="1"/>
    <col min="7" max="7" width="8" style="2" customWidth="1"/>
    <col min="8" max="8" width="11" style="2" customWidth="1"/>
    <col min="9" max="9" width="18" style="2" customWidth="1"/>
    <col min="10" max="16384" width="8.6640625" style="2"/>
  </cols>
  <sheetData>
    <row r="1" spans="1:9" ht="21.75" customHeight="1" x14ac:dyDescent="0.3">
      <c r="A1" s="76" t="s">
        <v>219</v>
      </c>
      <c r="B1" s="76"/>
      <c r="C1" s="76"/>
      <c r="D1" s="76"/>
      <c r="E1" s="76"/>
      <c r="F1" s="76"/>
      <c r="G1" s="76"/>
      <c r="H1" s="76"/>
      <c r="I1" s="76"/>
    </row>
    <row r="2" spans="1:9" ht="24" x14ac:dyDescent="0.3">
      <c r="A2" s="47" t="s">
        <v>0</v>
      </c>
      <c r="B2" s="47" t="s">
        <v>220</v>
      </c>
      <c r="C2" s="47" t="s">
        <v>221</v>
      </c>
      <c r="D2" s="47" t="s">
        <v>60</v>
      </c>
      <c r="E2" s="47" t="s">
        <v>222</v>
      </c>
      <c r="F2" s="47" t="s">
        <v>223</v>
      </c>
      <c r="G2" s="47" t="s">
        <v>64</v>
      </c>
      <c r="H2" s="47" t="s">
        <v>224</v>
      </c>
      <c r="I2" s="47" t="s">
        <v>225</v>
      </c>
    </row>
    <row r="3" spans="1:9" x14ac:dyDescent="0.3">
      <c r="A3" s="48" t="s">
        <v>5</v>
      </c>
      <c r="B3" s="37" t="s">
        <v>5</v>
      </c>
      <c r="C3" s="43" t="s">
        <v>50</v>
      </c>
      <c r="D3" s="37" t="s">
        <v>28</v>
      </c>
      <c r="E3" s="29" t="s">
        <v>70</v>
      </c>
      <c r="F3" s="37" t="s">
        <v>151</v>
      </c>
      <c r="G3" s="26" t="s">
        <v>84</v>
      </c>
      <c r="H3" s="39" t="s">
        <v>226</v>
      </c>
      <c r="I3" s="39" t="s">
        <v>87</v>
      </c>
    </row>
    <row r="4" spans="1:9" x14ac:dyDescent="0.3">
      <c r="A4" s="48" t="s">
        <v>5</v>
      </c>
      <c r="B4" s="37" t="s">
        <v>5</v>
      </c>
      <c r="C4" s="43" t="s">
        <v>50</v>
      </c>
      <c r="D4" s="37" t="s">
        <v>28</v>
      </c>
      <c r="E4" s="29" t="s">
        <v>72</v>
      </c>
      <c r="F4" s="37" t="s">
        <v>154</v>
      </c>
      <c r="G4" s="22" t="s">
        <v>68</v>
      </c>
      <c r="H4" s="39" t="s">
        <v>226</v>
      </c>
      <c r="I4" s="39" t="s">
        <v>87</v>
      </c>
    </row>
    <row r="5" spans="1:9" x14ac:dyDescent="0.3">
      <c r="A5" s="48" t="s">
        <v>5</v>
      </c>
      <c r="B5" s="37" t="s">
        <v>5</v>
      </c>
      <c r="C5" s="43" t="s">
        <v>50</v>
      </c>
      <c r="D5" s="37" t="s">
        <v>28</v>
      </c>
      <c r="E5" s="29" t="s">
        <v>82</v>
      </c>
      <c r="F5" s="37" t="s">
        <v>156</v>
      </c>
      <c r="G5" s="26" t="s">
        <v>84</v>
      </c>
      <c r="H5" s="39" t="s">
        <v>226</v>
      </c>
      <c r="I5" s="39" t="s">
        <v>87</v>
      </c>
    </row>
    <row r="6" spans="1:9" x14ac:dyDescent="0.3">
      <c r="A6" s="48" t="s">
        <v>5</v>
      </c>
      <c r="B6" s="37" t="s">
        <v>5</v>
      </c>
      <c r="C6" s="43" t="s">
        <v>50</v>
      </c>
      <c r="D6" s="37" t="s">
        <v>30</v>
      </c>
      <c r="E6" s="29"/>
      <c r="F6" s="37" t="s">
        <v>161</v>
      </c>
      <c r="G6" s="26" t="s">
        <v>84</v>
      </c>
      <c r="H6" s="39" t="s">
        <v>226</v>
      </c>
      <c r="I6" s="39" t="s">
        <v>87</v>
      </c>
    </row>
    <row r="7" spans="1:9" x14ac:dyDescent="0.3">
      <c r="A7" s="48" t="s">
        <v>5</v>
      </c>
      <c r="B7" s="37" t="s">
        <v>157</v>
      </c>
      <c r="C7" s="43" t="s">
        <v>50</v>
      </c>
      <c r="D7" s="37" t="s">
        <v>29</v>
      </c>
      <c r="E7" s="29" t="s">
        <v>70</v>
      </c>
      <c r="F7" s="37" t="s">
        <v>159</v>
      </c>
      <c r="G7" s="22" t="s">
        <v>68</v>
      </c>
      <c r="H7" s="23" t="s">
        <v>227</v>
      </c>
      <c r="I7" s="23" t="s">
        <v>69</v>
      </c>
    </row>
    <row r="8" spans="1:9" x14ac:dyDescent="0.3">
      <c r="A8" s="48" t="s">
        <v>5</v>
      </c>
      <c r="B8" s="37" t="s">
        <v>157</v>
      </c>
      <c r="C8" s="43" t="s">
        <v>50</v>
      </c>
      <c r="D8" s="37" t="s">
        <v>29</v>
      </c>
      <c r="E8" s="29" t="s">
        <v>72</v>
      </c>
      <c r="F8" s="37" t="s">
        <v>160</v>
      </c>
      <c r="G8" s="22" t="s">
        <v>68</v>
      </c>
      <c r="H8" s="39" t="s">
        <v>226</v>
      </c>
      <c r="I8" s="39" t="s">
        <v>87</v>
      </c>
    </row>
    <row r="9" spans="1:9" x14ac:dyDescent="0.3">
      <c r="A9" s="48" t="s">
        <v>5</v>
      </c>
      <c r="B9" s="37" t="s">
        <v>157</v>
      </c>
      <c r="C9" s="43" t="s">
        <v>50</v>
      </c>
      <c r="D9" s="37" t="s">
        <v>28</v>
      </c>
      <c r="E9" s="29" t="s">
        <v>82</v>
      </c>
      <c r="F9" s="37" t="s">
        <v>158</v>
      </c>
      <c r="G9" s="26" t="s">
        <v>84</v>
      </c>
      <c r="H9" s="23" t="s">
        <v>227</v>
      </c>
      <c r="I9" s="23" t="s">
        <v>69</v>
      </c>
    </row>
    <row r="10" spans="1:9" x14ac:dyDescent="0.3">
      <c r="A10" s="48" t="s">
        <v>5</v>
      </c>
      <c r="B10" s="37" t="s">
        <v>157</v>
      </c>
      <c r="C10" s="43" t="s">
        <v>50</v>
      </c>
      <c r="D10" s="37" t="s">
        <v>31</v>
      </c>
      <c r="E10" s="29" t="s">
        <v>85</v>
      </c>
      <c r="F10" s="37" t="s">
        <v>162</v>
      </c>
      <c r="G10" s="26" t="s">
        <v>84</v>
      </c>
      <c r="H10" s="39" t="s">
        <v>226</v>
      </c>
      <c r="I10" s="39" t="s">
        <v>87</v>
      </c>
    </row>
    <row r="11" spans="1:9" x14ac:dyDescent="0.3">
      <c r="A11" s="48" t="s">
        <v>5</v>
      </c>
      <c r="B11" s="37" t="s">
        <v>152</v>
      </c>
      <c r="C11" s="43" t="s">
        <v>50</v>
      </c>
      <c r="D11" s="37" t="s">
        <v>28</v>
      </c>
      <c r="E11" s="29" t="s">
        <v>70</v>
      </c>
      <c r="F11" s="37" t="s">
        <v>153</v>
      </c>
      <c r="G11" s="26" t="s">
        <v>84</v>
      </c>
      <c r="H11" s="39" t="s">
        <v>226</v>
      </c>
      <c r="I11" s="39" t="s">
        <v>87</v>
      </c>
    </row>
    <row r="12" spans="1:9" x14ac:dyDescent="0.3">
      <c r="A12" s="48" t="s">
        <v>5</v>
      </c>
      <c r="B12" s="37" t="s">
        <v>152</v>
      </c>
      <c r="C12" s="43" t="s">
        <v>50</v>
      </c>
      <c r="D12" s="37" t="s">
        <v>28</v>
      </c>
      <c r="E12" s="29" t="s">
        <v>72</v>
      </c>
      <c r="F12" s="37" t="s">
        <v>155</v>
      </c>
      <c r="G12" s="26" t="s">
        <v>84</v>
      </c>
      <c r="H12" s="39" t="s">
        <v>226</v>
      </c>
      <c r="I12" s="39" t="s">
        <v>87</v>
      </c>
    </row>
    <row r="13" spans="1:9" x14ac:dyDescent="0.3">
      <c r="A13" s="48" t="s">
        <v>16</v>
      </c>
      <c r="B13" s="37" t="s">
        <v>16</v>
      </c>
      <c r="C13" s="43" t="s">
        <v>50</v>
      </c>
      <c r="D13" s="37" t="s">
        <v>28</v>
      </c>
      <c r="E13" s="29" t="s">
        <v>70</v>
      </c>
      <c r="F13" s="37" t="s">
        <v>173</v>
      </c>
      <c r="G13" s="26" t="s">
        <v>84</v>
      </c>
      <c r="H13" s="39" t="s">
        <v>226</v>
      </c>
      <c r="I13" s="39" t="s">
        <v>87</v>
      </c>
    </row>
    <row r="14" spans="1:9" x14ac:dyDescent="0.3">
      <c r="A14" s="48" t="s">
        <v>47</v>
      </c>
      <c r="B14" s="37" t="s">
        <v>21</v>
      </c>
      <c r="C14" s="43" t="s">
        <v>50</v>
      </c>
      <c r="D14" s="37" t="s">
        <v>28</v>
      </c>
      <c r="E14" s="29"/>
      <c r="F14" s="37" t="s">
        <v>198</v>
      </c>
      <c r="G14" s="26" t="s">
        <v>84</v>
      </c>
      <c r="H14" s="39" t="s">
        <v>226</v>
      </c>
      <c r="I14" s="39" t="s">
        <v>87</v>
      </c>
    </row>
    <row r="15" spans="1:9" x14ac:dyDescent="0.3">
      <c r="A15" s="48" t="s">
        <v>56</v>
      </c>
      <c r="B15" s="37" t="s">
        <v>56</v>
      </c>
      <c r="C15" s="43" t="s">
        <v>50</v>
      </c>
      <c r="D15" s="37" t="s">
        <v>28</v>
      </c>
      <c r="E15" s="29"/>
      <c r="F15" s="37" t="s">
        <v>203</v>
      </c>
      <c r="G15" s="22" t="s">
        <v>68</v>
      </c>
      <c r="H15" s="39" t="s">
        <v>226</v>
      </c>
      <c r="I15" s="39" t="s">
        <v>87</v>
      </c>
    </row>
    <row r="16" spans="1:9" x14ac:dyDescent="0.3">
      <c r="A16" s="48" t="s">
        <v>19</v>
      </c>
      <c r="B16" s="37" t="s">
        <v>19</v>
      </c>
      <c r="C16" s="43" t="s">
        <v>50</v>
      </c>
      <c r="D16" s="37" t="s">
        <v>28</v>
      </c>
      <c r="E16" s="29"/>
      <c r="F16" s="37" t="s">
        <v>181</v>
      </c>
      <c r="G16" s="22" t="s">
        <v>68</v>
      </c>
      <c r="H16" s="39" t="s">
        <v>226</v>
      </c>
      <c r="I16" s="39" t="s">
        <v>87</v>
      </c>
    </row>
    <row r="17" spans="1:9" x14ac:dyDescent="0.3">
      <c r="A17" s="48" t="s">
        <v>17</v>
      </c>
      <c r="B17" s="37" t="s">
        <v>17</v>
      </c>
      <c r="C17" s="43" t="s">
        <v>50</v>
      </c>
      <c r="D17" s="37" t="s">
        <v>28</v>
      </c>
      <c r="E17" s="29"/>
      <c r="F17" s="37" t="s">
        <v>188</v>
      </c>
      <c r="G17" s="22" t="s">
        <v>68</v>
      </c>
      <c r="H17" s="39" t="s">
        <v>226</v>
      </c>
      <c r="I17" s="39" t="s">
        <v>87</v>
      </c>
    </row>
    <row r="18" spans="1:9" x14ac:dyDescent="0.3">
      <c r="A18" s="48" t="s">
        <v>45</v>
      </c>
      <c r="B18" s="37" t="s">
        <v>45</v>
      </c>
      <c r="C18" s="43" t="s">
        <v>50</v>
      </c>
      <c r="D18" s="37" t="s">
        <v>28</v>
      </c>
      <c r="E18" s="29"/>
      <c r="F18" s="37" t="s">
        <v>193</v>
      </c>
      <c r="G18" s="22" t="s">
        <v>68</v>
      </c>
      <c r="H18" s="39" t="s">
        <v>226</v>
      </c>
      <c r="I18" s="39" t="s">
        <v>87</v>
      </c>
    </row>
    <row r="19" spans="1:9" x14ac:dyDescent="0.3">
      <c r="A19" s="48" t="s">
        <v>5</v>
      </c>
      <c r="B19" s="37" t="s">
        <v>149</v>
      </c>
      <c r="C19" s="43" t="s">
        <v>50</v>
      </c>
      <c r="D19" s="37" t="s">
        <v>28</v>
      </c>
      <c r="E19" s="29"/>
      <c r="F19" s="37" t="s">
        <v>150</v>
      </c>
      <c r="G19" s="26" t="s">
        <v>84</v>
      </c>
      <c r="H19" s="39" t="s">
        <v>226</v>
      </c>
      <c r="I19" s="39" t="s">
        <v>87</v>
      </c>
    </row>
    <row r="20" spans="1:9" x14ac:dyDescent="0.3">
      <c r="A20" s="48" t="s">
        <v>48</v>
      </c>
      <c r="B20" s="37" t="s">
        <v>18</v>
      </c>
      <c r="C20" s="43" t="s">
        <v>50</v>
      </c>
      <c r="D20" s="37" t="s">
        <v>28</v>
      </c>
      <c r="E20" s="29"/>
      <c r="F20" s="37" t="s">
        <v>208</v>
      </c>
      <c r="G20" s="22" t="s">
        <v>68</v>
      </c>
      <c r="H20" s="39" t="s">
        <v>226</v>
      </c>
      <c r="I20" s="39" t="s">
        <v>87</v>
      </c>
    </row>
    <row r="21" spans="1:9" x14ac:dyDescent="0.3">
      <c r="A21" s="48" t="s">
        <v>48</v>
      </c>
      <c r="B21" s="37" t="s">
        <v>209</v>
      </c>
      <c r="C21" s="43" t="s">
        <v>50</v>
      </c>
      <c r="D21" s="37" t="s">
        <v>28</v>
      </c>
      <c r="E21" s="29"/>
      <c r="F21" s="37" t="s">
        <v>210</v>
      </c>
      <c r="G21" s="22" t="s">
        <v>68</v>
      </c>
      <c r="H21" s="39" t="s">
        <v>226</v>
      </c>
      <c r="I21" s="39" t="s">
        <v>87</v>
      </c>
    </row>
    <row r="22" spans="1:9" x14ac:dyDescent="0.3">
      <c r="A22" s="48" t="s">
        <v>48</v>
      </c>
      <c r="B22" s="37" t="s">
        <v>211</v>
      </c>
      <c r="C22" s="43" t="s">
        <v>50</v>
      </c>
      <c r="D22" s="37" t="s">
        <v>28</v>
      </c>
      <c r="E22" s="29"/>
      <c r="F22" s="37" t="s">
        <v>212</v>
      </c>
      <c r="G22" s="22" t="s">
        <v>68</v>
      </c>
      <c r="H22" s="39" t="s">
        <v>226</v>
      </c>
      <c r="I22" s="39" t="s">
        <v>87</v>
      </c>
    </row>
    <row r="23" spans="1:9" x14ac:dyDescent="0.3">
      <c r="A23" s="48" t="s">
        <v>5</v>
      </c>
      <c r="B23" s="37" t="s">
        <v>5</v>
      </c>
      <c r="C23" s="46" t="s">
        <v>53</v>
      </c>
      <c r="D23" s="37" t="s">
        <v>30</v>
      </c>
      <c r="E23" s="29" t="s">
        <v>70</v>
      </c>
      <c r="F23" s="37" t="s">
        <v>71</v>
      </c>
      <c r="G23" s="22" t="s">
        <v>68</v>
      </c>
      <c r="H23" s="23" t="s">
        <v>227</v>
      </c>
      <c r="I23" s="23" t="s">
        <v>69</v>
      </c>
    </row>
    <row r="24" spans="1:9" x14ac:dyDescent="0.3">
      <c r="A24" s="48" t="s">
        <v>5</v>
      </c>
      <c r="B24" s="37" t="s">
        <v>5</v>
      </c>
      <c r="C24" s="46" t="s">
        <v>53</v>
      </c>
      <c r="D24" s="37" t="s">
        <v>30</v>
      </c>
      <c r="E24" s="29" t="s">
        <v>72</v>
      </c>
      <c r="F24" s="37" t="s">
        <v>73</v>
      </c>
      <c r="G24" s="22" t="s">
        <v>68</v>
      </c>
      <c r="H24" s="23" t="s">
        <v>227</v>
      </c>
      <c r="I24" s="23" t="s">
        <v>69</v>
      </c>
    </row>
    <row r="25" spans="1:9" x14ac:dyDescent="0.3">
      <c r="A25" s="48" t="s">
        <v>5</v>
      </c>
      <c r="B25" s="37" t="s">
        <v>5</v>
      </c>
      <c r="C25" s="46" t="s">
        <v>53</v>
      </c>
      <c r="D25" s="37" t="s">
        <v>28</v>
      </c>
      <c r="E25" s="29"/>
      <c r="F25" s="37" t="s">
        <v>67</v>
      </c>
      <c r="G25" s="22" t="s">
        <v>68</v>
      </c>
      <c r="H25" s="23" t="s">
        <v>227</v>
      </c>
      <c r="I25" s="23" t="s">
        <v>69</v>
      </c>
    </row>
    <row r="26" spans="1:9" x14ac:dyDescent="0.3">
      <c r="A26" s="48" t="s">
        <v>16</v>
      </c>
      <c r="B26" s="37" t="s">
        <v>16</v>
      </c>
      <c r="C26" s="46" t="s">
        <v>53</v>
      </c>
      <c r="D26" s="37" t="s">
        <v>164</v>
      </c>
      <c r="E26" s="29"/>
      <c r="F26" s="37" t="s">
        <v>165</v>
      </c>
      <c r="G26" s="22" t="s">
        <v>68</v>
      </c>
      <c r="H26" s="23" t="s">
        <v>227</v>
      </c>
      <c r="I26" s="23" t="s">
        <v>69</v>
      </c>
    </row>
    <row r="27" spans="1:9" x14ac:dyDescent="0.3">
      <c r="A27" s="48" t="s">
        <v>5</v>
      </c>
      <c r="B27" s="37" t="s">
        <v>5</v>
      </c>
      <c r="C27" s="46" t="s">
        <v>53</v>
      </c>
      <c r="D27" s="37" t="s">
        <v>74</v>
      </c>
      <c r="E27" s="29" t="s">
        <v>70</v>
      </c>
      <c r="F27" s="37" t="s">
        <v>75</v>
      </c>
      <c r="G27" s="22" t="s">
        <v>68</v>
      </c>
      <c r="H27" s="23" t="s">
        <v>227</v>
      </c>
      <c r="I27" s="23" t="s">
        <v>69</v>
      </c>
    </row>
    <row r="28" spans="1:9" x14ac:dyDescent="0.3">
      <c r="A28" s="48" t="s">
        <v>5</v>
      </c>
      <c r="B28" s="37" t="s">
        <v>5</v>
      </c>
      <c r="C28" s="46" t="s">
        <v>53</v>
      </c>
      <c r="D28" s="37" t="s">
        <v>74</v>
      </c>
      <c r="E28" s="29" t="s">
        <v>72</v>
      </c>
      <c r="F28" s="37" t="s">
        <v>76</v>
      </c>
      <c r="G28" s="22" t="s">
        <v>68</v>
      </c>
      <c r="H28" s="25" t="s">
        <v>228</v>
      </c>
      <c r="I28" s="25" t="s">
        <v>77</v>
      </c>
    </row>
    <row r="29" spans="1:9" ht="22.8" x14ac:dyDescent="0.3">
      <c r="A29" s="48" t="s">
        <v>5</v>
      </c>
      <c r="B29" s="37" t="s">
        <v>5</v>
      </c>
      <c r="C29" s="46" t="s">
        <v>53</v>
      </c>
      <c r="D29" s="37" t="s">
        <v>78</v>
      </c>
      <c r="E29" s="29"/>
      <c r="F29" s="37" t="s">
        <v>79</v>
      </c>
      <c r="G29" s="22" t="s">
        <v>68</v>
      </c>
      <c r="H29" s="23" t="s">
        <v>227</v>
      </c>
      <c r="I29" s="23" t="s">
        <v>69</v>
      </c>
    </row>
    <row r="30" spans="1:9" x14ac:dyDescent="0.3">
      <c r="A30" s="48" t="s">
        <v>5</v>
      </c>
      <c r="B30" s="37" t="s">
        <v>5</v>
      </c>
      <c r="C30" s="45" t="s">
        <v>52</v>
      </c>
      <c r="D30" s="37" t="s">
        <v>28</v>
      </c>
      <c r="E30" s="29" t="s">
        <v>70</v>
      </c>
      <c r="F30" s="37" t="s">
        <v>80</v>
      </c>
      <c r="G30" s="22" t="s">
        <v>68</v>
      </c>
      <c r="H30" s="23" t="s">
        <v>227</v>
      </c>
      <c r="I30" s="23" t="s">
        <v>69</v>
      </c>
    </row>
    <row r="31" spans="1:9" x14ac:dyDescent="0.3">
      <c r="A31" s="48" t="s">
        <v>5</v>
      </c>
      <c r="B31" s="37" t="s">
        <v>5</v>
      </c>
      <c r="C31" s="45" t="s">
        <v>52</v>
      </c>
      <c r="D31" s="37" t="s">
        <v>28</v>
      </c>
      <c r="E31" s="29" t="s">
        <v>72</v>
      </c>
      <c r="F31" s="37" t="s">
        <v>81</v>
      </c>
      <c r="G31" s="22" t="s">
        <v>68</v>
      </c>
      <c r="H31" s="23" t="s">
        <v>227</v>
      </c>
      <c r="I31" s="23" t="s">
        <v>69</v>
      </c>
    </row>
    <row r="32" spans="1:9" x14ac:dyDescent="0.3">
      <c r="A32" s="48" t="s">
        <v>5</v>
      </c>
      <c r="B32" s="37" t="s">
        <v>5</v>
      </c>
      <c r="C32" s="45" t="s">
        <v>52</v>
      </c>
      <c r="D32" s="37" t="s">
        <v>28</v>
      </c>
      <c r="E32" s="29" t="s">
        <v>82</v>
      </c>
      <c r="F32" s="37" t="s">
        <v>83</v>
      </c>
      <c r="G32" s="26" t="s">
        <v>84</v>
      </c>
      <c r="H32" s="23" t="s">
        <v>227</v>
      </c>
      <c r="I32" s="23" t="s">
        <v>69</v>
      </c>
    </row>
    <row r="33" spans="1:9" x14ac:dyDescent="0.3">
      <c r="A33" s="48" t="s">
        <v>5</v>
      </c>
      <c r="B33" s="37" t="s">
        <v>5</v>
      </c>
      <c r="C33" s="45" t="s">
        <v>52</v>
      </c>
      <c r="D33" s="37" t="s">
        <v>28</v>
      </c>
      <c r="E33" s="29" t="s">
        <v>85</v>
      </c>
      <c r="F33" s="37" t="s">
        <v>86</v>
      </c>
      <c r="G33" s="22" t="s">
        <v>68</v>
      </c>
      <c r="H33" s="39" t="s">
        <v>226</v>
      </c>
      <c r="I33" s="39" t="s">
        <v>87</v>
      </c>
    </row>
    <row r="34" spans="1:9" x14ac:dyDescent="0.3">
      <c r="A34" s="48" t="s">
        <v>5</v>
      </c>
      <c r="B34" s="37" t="s">
        <v>5</v>
      </c>
      <c r="C34" s="45" t="s">
        <v>52</v>
      </c>
      <c r="D34" s="37" t="s">
        <v>28</v>
      </c>
      <c r="E34" s="29" t="s">
        <v>88</v>
      </c>
      <c r="F34" s="37" t="s">
        <v>89</v>
      </c>
      <c r="G34" s="22" t="s">
        <v>68</v>
      </c>
      <c r="H34" s="39" t="s">
        <v>226</v>
      </c>
      <c r="I34" s="39" t="s">
        <v>87</v>
      </c>
    </row>
    <row r="35" spans="1:9" x14ac:dyDescent="0.3">
      <c r="A35" s="48" t="s">
        <v>5</v>
      </c>
      <c r="B35" s="37" t="s">
        <v>5</v>
      </c>
      <c r="C35" s="45" t="s">
        <v>52</v>
      </c>
      <c r="D35" s="37" t="s">
        <v>32</v>
      </c>
      <c r="E35" s="29"/>
      <c r="F35" s="37" t="s">
        <v>92</v>
      </c>
      <c r="G35" s="26" t="s">
        <v>84</v>
      </c>
      <c r="H35" s="39" t="s">
        <v>226</v>
      </c>
      <c r="I35" s="39" t="s">
        <v>87</v>
      </c>
    </row>
    <row r="36" spans="1:9" x14ac:dyDescent="0.3">
      <c r="A36" s="48" t="s">
        <v>5</v>
      </c>
      <c r="B36" s="37" t="s">
        <v>5</v>
      </c>
      <c r="C36" s="45" t="s">
        <v>52</v>
      </c>
      <c r="D36" s="37" t="s">
        <v>90</v>
      </c>
      <c r="E36" s="29"/>
      <c r="F36" s="37" t="s">
        <v>91</v>
      </c>
      <c r="G36" s="22" t="s">
        <v>68</v>
      </c>
      <c r="H36" s="39" t="s">
        <v>226</v>
      </c>
      <c r="I36" s="39" t="s">
        <v>87</v>
      </c>
    </row>
    <row r="37" spans="1:9" x14ac:dyDescent="0.3">
      <c r="A37" s="48" t="s">
        <v>19</v>
      </c>
      <c r="B37" s="37" t="s">
        <v>19</v>
      </c>
      <c r="C37" s="45" t="s">
        <v>52</v>
      </c>
      <c r="D37" s="37" t="s">
        <v>28</v>
      </c>
      <c r="E37" s="29"/>
      <c r="F37" s="37" t="s">
        <v>175</v>
      </c>
      <c r="G37" s="22" t="s">
        <v>68</v>
      </c>
      <c r="H37" s="23" t="s">
        <v>227</v>
      </c>
      <c r="I37" s="23" t="s">
        <v>69</v>
      </c>
    </row>
    <row r="38" spans="1:9" x14ac:dyDescent="0.3">
      <c r="A38" s="48" t="s">
        <v>45</v>
      </c>
      <c r="B38" s="37" t="s">
        <v>45</v>
      </c>
      <c r="C38" s="45" t="s">
        <v>52</v>
      </c>
      <c r="D38" s="37" t="s">
        <v>28</v>
      </c>
      <c r="E38" s="29"/>
      <c r="F38" s="37" t="s">
        <v>190</v>
      </c>
      <c r="G38" s="26" t="s">
        <v>84</v>
      </c>
      <c r="H38" s="39" t="s">
        <v>226</v>
      </c>
      <c r="I38" s="39" t="s">
        <v>87</v>
      </c>
    </row>
    <row r="39" spans="1:9" x14ac:dyDescent="0.3">
      <c r="A39" s="48" t="s">
        <v>17</v>
      </c>
      <c r="B39" s="37" t="s">
        <v>17</v>
      </c>
      <c r="C39" s="45" t="s">
        <v>52</v>
      </c>
      <c r="D39" s="37" t="s">
        <v>28</v>
      </c>
      <c r="E39" s="29"/>
      <c r="F39" s="37" t="s">
        <v>183</v>
      </c>
      <c r="G39" s="22" t="s">
        <v>68</v>
      </c>
      <c r="H39" s="23" t="s">
        <v>227</v>
      </c>
      <c r="I39" s="23" t="s">
        <v>69</v>
      </c>
    </row>
    <row r="40" spans="1:9" x14ac:dyDescent="0.3">
      <c r="A40" s="48" t="s">
        <v>17</v>
      </c>
      <c r="B40" s="37" t="s">
        <v>17</v>
      </c>
      <c r="C40" s="45" t="s">
        <v>52</v>
      </c>
      <c r="D40" s="37" t="s">
        <v>184</v>
      </c>
      <c r="E40" s="29"/>
      <c r="F40" s="37" t="s">
        <v>185</v>
      </c>
      <c r="G40" s="22" t="s">
        <v>68</v>
      </c>
      <c r="H40" s="39" t="s">
        <v>226</v>
      </c>
      <c r="I40" s="39" t="s">
        <v>87</v>
      </c>
    </row>
    <row r="41" spans="1:9" x14ac:dyDescent="0.3">
      <c r="A41" s="48" t="s">
        <v>16</v>
      </c>
      <c r="B41" s="37" t="s">
        <v>16</v>
      </c>
      <c r="C41" s="45" t="s">
        <v>52</v>
      </c>
      <c r="D41" s="37" t="s">
        <v>28</v>
      </c>
      <c r="E41" s="29"/>
      <c r="F41" s="37" t="s">
        <v>166</v>
      </c>
      <c r="G41" s="22" t="s">
        <v>68</v>
      </c>
      <c r="H41" s="23" t="s">
        <v>227</v>
      </c>
      <c r="I41" s="23" t="s">
        <v>69</v>
      </c>
    </row>
    <row r="42" spans="1:9" x14ac:dyDescent="0.3">
      <c r="A42" s="48" t="s">
        <v>47</v>
      </c>
      <c r="B42" s="37" t="s">
        <v>21</v>
      </c>
      <c r="C42" s="45" t="s">
        <v>52</v>
      </c>
      <c r="D42" s="37" t="s">
        <v>28</v>
      </c>
      <c r="E42" s="29"/>
      <c r="F42" s="37" t="s">
        <v>195</v>
      </c>
      <c r="G42" s="22" t="s">
        <v>68</v>
      </c>
      <c r="H42" s="23" t="s">
        <v>227</v>
      </c>
      <c r="I42" s="23" t="s">
        <v>69</v>
      </c>
    </row>
    <row r="43" spans="1:9" x14ac:dyDescent="0.3">
      <c r="A43" s="48" t="s">
        <v>56</v>
      </c>
      <c r="B43" s="37" t="s">
        <v>56</v>
      </c>
      <c r="C43" s="45" t="s">
        <v>52</v>
      </c>
      <c r="D43" s="37" t="s">
        <v>28</v>
      </c>
      <c r="E43" s="29"/>
      <c r="F43" s="37" t="s">
        <v>200</v>
      </c>
      <c r="G43" s="22" t="s">
        <v>68</v>
      </c>
      <c r="H43" s="39" t="s">
        <v>226</v>
      </c>
      <c r="I43" s="39" t="s">
        <v>87</v>
      </c>
    </row>
    <row r="44" spans="1:9" x14ac:dyDescent="0.3">
      <c r="A44" s="48" t="s">
        <v>48</v>
      </c>
      <c r="B44" s="37" t="s">
        <v>18</v>
      </c>
      <c r="C44" s="45" t="s">
        <v>52</v>
      </c>
      <c r="D44" s="37" t="s">
        <v>28</v>
      </c>
      <c r="E44" s="29"/>
      <c r="F44" s="37" t="s">
        <v>205</v>
      </c>
      <c r="G44" s="22" t="s">
        <v>68</v>
      </c>
      <c r="H44" s="39" t="s">
        <v>226</v>
      </c>
      <c r="I44" s="39" t="s">
        <v>87</v>
      </c>
    </row>
    <row r="45" spans="1:9" x14ac:dyDescent="0.3">
      <c r="A45" s="48" t="s">
        <v>5</v>
      </c>
      <c r="B45" s="37" t="s">
        <v>5</v>
      </c>
      <c r="C45" s="45" t="s">
        <v>52</v>
      </c>
      <c r="D45" s="37" t="s">
        <v>126</v>
      </c>
      <c r="E45" s="29" t="s">
        <v>70</v>
      </c>
      <c r="F45" s="37" t="s">
        <v>127</v>
      </c>
      <c r="G45" s="22" t="s">
        <v>68</v>
      </c>
      <c r="H45" s="39" t="s">
        <v>226</v>
      </c>
      <c r="I45" s="39" t="s">
        <v>87</v>
      </c>
    </row>
    <row r="46" spans="1:9" x14ac:dyDescent="0.3">
      <c r="A46" s="48" t="s">
        <v>5</v>
      </c>
      <c r="B46" s="37" t="s">
        <v>5</v>
      </c>
      <c r="C46" s="45" t="s">
        <v>52</v>
      </c>
      <c r="D46" s="37" t="s">
        <v>126</v>
      </c>
      <c r="E46" s="29" t="s">
        <v>72</v>
      </c>
      <c r="F46" s="37" t="s">
        <v>128</v>
      </c>
      <c r="G46" s="22" t="s">
        <v>68</v>
      </c>
      <c r="H46" s="23" t="s">
        <v>227</v>
      </c>
      <c r="I46" s="23" t="s">
        <v>69</v>
      </c>
    </row>
    <row r="47" spans="1:9" x14ac:dyDescent="0.3">
      <c r="A47" s="48" t="s">
        <v>5</v>
      </c>
      <c r="B47" s="37" t="s">
        <v>5</v>
      </c>
      <c r="C47" s="45" t="s">
        <v>52</v>
      </c>
      <c r="D47" s="37" t="s">
        <v>126</v>
      </c>
      <c r="E47" s="29" t="s">
        <v>82</v>
      </c>
      <c r="F47" s="37" t="s">
        <v>129</v>
      </c>
      <c r="G47" s="26" t="s">
        <v>84</v>
      </c>
      <c r="H47" s="23" t="s">
        <v>227</v>
      </c>
      <c r="I47" s="23" t="s">
        <v>69</v>
      </c>
    </row>
    <row r="48" spans="1:9" x14ac:dyDescent="0.3">
      <c r="A48" s="48" t="s">
        <v>5</v>
      </c>
      <c r="B48" s="37" t="s">
        <v>5</v>
      </c>
      <c r="C48" s="45" t="s">
        <v>52</v>
      </c>
      <c r="D48" s="37" t="s">
        <v>126</v>
      </c>
      <c r="E48" s="29" t="s">
        <v>85</v>
      </c>
      <c r="F48" s="37" t="s">
        <v>130</v>
      </c>
      <c r="G48" s="26" t="s">
        <v>84</v>
      </c>
      <c r="H48" s="25" t="s">
        <v>228</v>
      </c>
      <c r="I48" s="25" t="s">
        <v>77</v>
      </c>
    </row>
    <row r="49" spans="1:9" x14ac:dyDescent="0.3">
      <c r="A49" s="48" t="s">
        <v>5</v>
      </c>
      <c r="B49" s="37" t="s">
        <v>5</v>
      </c>
      <c r="C49" s="45" t="s">
        <v>52</v>
      </c>
      <c r="D49" s="37" t="s">
        <v>131</v>
      </c>
      <c r="E49" s="29"/>
      <c r="F49" s="37" t="s">
        <v>132</v>
      </c>
      <c r="G49" s="22" t="s">
        <v>68</v>
      </c>
      <c r="H49" s="39" t="s">
        <v>226</v>
      </c>
      <c r="I49" s="39" t="s">
        <v>87</v>
      </c>
    </row>
    <row r="50" spans="1:9" x14ac:dyDescent="0.3">
      <c r="A50" s="48" t="s">
        <v>5</v>
      </c>
      <c r="B50" s="37" t="s">
        <v>5</v>
      </c>
      <c r="C50" s="45" t="s">
        <v>52</v>
      </c>
      <c r="D50" s="37" t="s">
        <v>29</v>
      </c>
      <c r="E50" s="29" t="s">
        <v>70</v>
      </c>
      <c r="F50" s="37" t="s">
        <v>93</v>
      </c>
      <c r="G50" s="26" t="s">
        <v>84</v>
      </c>
      <c r="H50" s="39" t="s">
        <v>226</v>
      </c>
      <c r="I50" s="39" t="s">
        <v>87</v>
      </c>
    </row>
    <row r="51" spans="1:9" x14ac:dyDescent="0.3">
      <c r="A51" s="48" t="s">
        <v>5</v>
      </c>
      <c r="B51" s="37" t="s">
        <v>5</v>
      </c>
      <c r="C51" s="45" t="s">
        <v>52</v>
      </c>
      <c r="D51" s="37" t="s">
        <v>29</v>
      </c>
      <c r="E51" s="29" t="s">
        <v>72</v>
      </c>
      <c r="F51" s="37" t="s">
        <v>94</v>
      </c>
      <c r="G51" s="26" t="s">
        <v>84</v>
      </c>
      <c r="H51" s="25" t="s">
        <v>228</v>
      </c>
      <c r="I51" s="25" t="s">
        <v>77</v>
      </c>
    </row>
    <row r="52" spans="1:9" x14ac:dyDescent="0.3">
      <c r="A52" s="48" t="s">
        <v>5</v>
      </c>
      <c r="B52" s="37" t="s">
        <v>5</v>
      </c>
      <c r="C52" s="45" t="s">
        <v>52</v>
      </c>
      <c r="D52" s="37" t="s">
        <v>29</v>
      </c>
      <c r="E52" s="29" t="s">
        <v>82</v>
      </c>
      <c r="F52" s="37" t="s">
        <v>95</v>
      </c>
      <c r="G52" s="22" t="s">
        <v>68</v>
      </c>
      <c r="H52" s="39" t="s">
        <v>226</v>
      </c>
      <c r="I52" s="39" t="s">
        <v>87</v>
      </c>
    </row>
    <row r="53" spans="1:9" x14ac:dyDescent="0.3">
      <c r="A53" s="48" t="s">
        <v>5</v>
      </c>
      <c r="B53" s="37" t="s">
        <v>5</v>
      </c>
      <c r="C53" s="45" t="s">
        <v>52</v>
      </c>
      <c r="D53" s="37" t="s">
        <v>29</v>
      </c>
      <c r="E53" s="29" t="s">
        <v>85</v>
      </c>
      <c r="F53" s="37" t="s">
        <v>96</v>
      </c>
      <c r="G53" s="26" t="s">
        <v>84</v>
      </c>
      <c r="H53" s="25" t="s">
        <v>228</v>
      </c>
      <c r="I53" s="25" t="s">
        <v>77</v>
      </c>
    </row>
    <row r="54" spans="1:9" x14ac:dyDescent="0.3">
      <c r="A54" s="48" t="s">
        <v>19</v>
      </c>
      <c r="B54" s="37" t="s">
        <v>19</v>
      </c>
      <c r="C54" s="45" t="s">
        <v>52</v>
      </c>
      <c r="D54" s="37" t="s">
        <v>29</v>
      </c>
      <c r="E54" s="29"/>
      <c r="F54" s="37" t="s">
        <v>176</v>
      </c>
      <c r="G54" s="26" t="s">
        <v>84</v>
      </c>
      <c r="H54" s="25" t="s">
        <v>228</v>
      </c>
      <c r="I54" s="25" t="s">
        <v>77</v>
      </c>
    </row>
    <row r="55" spans="1:9" x14ac:dyDescent="0.3">
      <c r="A55" s="48" t="s">
        <v>5</v>
      </c>
      <c r="B55" s="37" t="s">
        <v>5</v>
      </c>
      <c r="C55" s="45" t="s">
        <v>52</v>
      </c>
      <c r="D55" s="37" t="s">
        <v>97</v>
      </c>
      <c r="E55" s="29" t="s">
        <v>88</v>
      </c>
      <c r="F55" s="37" t="s">
        <v>100</v>
      </c>
      <c r="G55" s="22" t="s">
        <v>68</v>
      </c>
      <c r="H55" s="25" t="s">
        <v>228</v>
      </c>
      <c r="I55" s="25" t="s">
        <v>77</v>
      </c>
    </row>
    <row r="56" spans="1:9" x14ac:dyDescent="0.3">
      <c r="A56" s="48" t="s">
        <v>5</v>
      </c>
      <c r="B56" s="37" t="s">
        <v>5</v>
      </c>
      <c r="C56" s="45" t="s">
        <v>52</v>
      </c>
      <c r="D56" s="37" t="s">
        <v>97</v>
      </c>
      <c r="E56" s="29" t="s">
        <v>101</v>
      </c>
      <c r="F56" s="37" t="s">
        <v>102</v>
      </c>
      <c r="G56" s="26" t="s">
        <v>84</v>
      </c>
      <c r="H56" s="25" t="s">
        <v>228</v>
      </c>
      <c r="I56" s="25" t="s">
        <v>77</v>
      </c>
    </row>
    <row r="57" spans="1:9" x14ac:dyDescent="0.3">
      <c r="A57" s="48" t="s">
        <v>5</v>
      </c>
      <c r="B57" s="37" t="s">
        <v>5</v>
      </c>
      <c r="C57" s="45" t="s">
        <v>52</v>
      </c>
      <c r="D57" s="37" t="s">
        <v>97</v>
      </c>
      <c r="E57" s="29" t="s">
        <v>103</v>
      </c>
      <c r="F57" s="37" t="s">
        <v>104</v>
      </c>
      <c r="G57" s="26" t="s">
        <v>84</v>
      </c>
      <c r="H57" s="25" t="s">
        <v>228</v>
      </c>
      <c r="I57" s="25" t="s">
        <v>77</v>
      </c>
    </row>
    <row r="58" spans="1:9" x14ac:dyDescent="0.3">
      <c r="A58" s="48" t="s">
        <v>5</v>
      </c>
      <c r="B58" s="37" t="s">
        <v>5</v>
      </c>
      <c r="C58" s="45" t="s">
        <v>52</v>
      </c>
      <c r="D58" s="37" t="s">
        <v>97</v>
      </c>
      <c r="E58" s="29" t="s">
        <v>105</v>
      </c>
      <c r="F58" s="37" t="s">
        <v>106</v>
      </c>
      <c r="G58" s="22" t="s">
        <v>68</v>
      </c>
      <c r="H58" s="25" t="s">
        <v>228</v>
      </c>
      <c r="I58" s="25" t="s">
        <v>77</v>
      </c>
    </row>
    <row r="59" spans="1:9" x14ac:dyDescent="0.3">
      <c r="A59" s="48" t="s">
        <v>5</v>
      </c>
      <c r="B59" s="37" t="s">
        <v>5</v>
      </c>
      <c r="C59" s="45" t="s">
        <v>52</v>
      </c>
      <c r="D59" s="37" t="s">
        <v>97</v>
      </c>
      <c r="E59" s="29" t="s">
        <v>107</v>
      </c>
      <c r="F59" s="37" t="s">
        <v>108</v>
      </c>
      <c r="G59" s="26" t="s">
        <v>84</v>
      </c>
      <c r="H59" s="39" t="s">
        <v>226</v>
      </c>
      <c r="I59" s="39" t="s">
        <v>87</v>
      </c>
    </row>
    <row r="60" spans="1:9" x14ac:dyDescent="0.3">
      <c r="A60" s="48" t="s">
        <v>5</v>
      </c>
      <c r="B60" s="37" t="s">
        <v>5</v>
      </c>
      <c r="C60" s="45" t="s">
        <v>52</v>
      </c>
      <c r="D60" s="37" t="s">
        <v>97</v>
      </c>
      <c r="E60" s="29" t="s">
        <v>98</v>
      </c>
      <c r="F60" s="37" t="s">
        <v>99</v>
      </c>
      <c r="G60" s="22" t="s">
        <v>68</v>
      </c>
      <c r="H60" s="25" t="s">
        <v>228</v>
      </c>
      <c r="I60" s="25" t="s">
        <v>77</v>
      </c>
    </row>
    <row r="61" spans="1:9" x14ac:dyDescent="0.3">
      <c r="A61" s="48" t="s">
        <v>16</v>
      </c>
      <c r="B61" s="37" t="s">
        <v>16</v>
      </c>
      <c r="C61" s="45" t="s">
        <v>52</v>
      </c>
      <c r="D61" s="37" t="s">
        <v>97</v>
      </c>
      <c r="E61" s="29"/>
      <c r="F61" s="37" t="s">
        <v>167</v>
      </c>
      <c r="G61" s="22" t="s">
        <v>68</v>
      </c>
      <c r="H61" s="25" t="s">
        <v>228</v>
      </c>
      <c r="I61" s="25" t="s">
        <v>77</v>
      </c>
    </row>
    <row r="62" spans="1:9" x14ac:dyDescent="0.3">
      <c r="A62" s="48" t="s">
        <v>5</v>
      </c>
      <c r="B62" s="37" t="s">
        <v>5</v>
      </c>
      <c r="C62" s="45" t="s">
        <v>52</v>
      </c>
      <c r="D62" s="37" t="s">
        <v>121</v>
      </c>
      <c r="E62" s="29" t="s">
        <v>70</v>
      </c>
      <c r="F62" s="37" t="s">
        <v>122</v>
      </c>
      <c r="G62" s="22" t="s">
        <v>68</v>
      </c>
      <c r="H62" s="23" t="s">
        <v>227</v>
      </c>
      <c r="I62" s="23" t="s">
        <v>69</v>
      </c>
    </row>
    <row r="63" spans="1:9" x14ac:dyDescent="0.3">
      <c r="A63" s="48" t="s">
        <v>5</v>
      </c>
      <c r="B63" s="37" t="s">
        <v>5</v>
      </c>
      <c r="C63" s="45" t="s">
        <v>52</v>
      </c>
      <c r="D63" s="37" t="s">
        <v>121</v>
      </c>
      <c r="E63" s="29" t="s">
        <v>72</v>
      </c>
      <c r="F63" s="37" t="s">
        <v>123</v>
      </c>
      <c r="G63" s="22" t="s">
        <v>68</v>
      </c>
      <c r="H63" s="39" t="s">
        <v>226</v>
      </c>
      <c r="I63" s="39" t="s">
        <v>87</v>
      </c>
    </row>
    <row r="64" spans="1:9" x14ac:dyDescent="0.3">
      <c r="A64" s="48" t="s">
        <v>5</v>
      </c>
      <c r="B64" s="37" t="s">
        <v>5</v>
      </c>
      <c r="C64" s="45" t="s">
        <v>52</v>
      </c>
      <c r="D64" s="37" t="s">
        <v>121</v>
      </c>
      <c r="E64" s="29" t="s">
        <v>82</v>
      </c>
      <c r="F64" s="37" t="s">
        <v>124</v>
      </c>
      <c r="G64" s="22" t="s">
        <v>68</v>
      </c>
      <c r="H64" s="23" t="s">
        <v>227</v>
      </c>
      <c r="I64" s="23" t="s">
        <v>69</v>
      </c>
    </row>
    <row r="65" spans="1:9" x14ac:dyDescent="0.3">
      <c r="A65" s="48" t="s">
        <v>5</v>
      </c>
      <c r="B65" s="37" t="s">
        <v>5</v>
      </c>
      <c r="C65" s="45" t="s">
        <v>52</v>
      </c>
      <c r="D65" s="37" t="s">
        <v>121</v>
      </c>
      <c r="E65" s="29" t="s">
        <v>85</v>
      </c>
      <c r="F65" s="37" t="s">
        <v>125</v>
      </c>
      <c r="G65" s="26" t="s">
        <v>84</v>
      </c>
      <c r="H65" s="39" t="s">
        <v>226</v>
      </c>
      <c r="I65" s="39" t="s">
        <v>87</v>
      </c>
    </row>
    <row r="66" spans="1:9" ht="22.8" x14ac:dyDescent="0.3">
      <c r="A66" s="48" t="s">
        <v>5</v>
      </c>
      <c r="B66" s="37" t="s">
        <v>5</v>
      </c>
      <c r="C66" s="45" t="s">
        <v>52</v>
      </c>
      <c r="D66" s="37" t="s">
        <v>114</v>
      </c>
      <c r="E66" s="29" t="s">
        <v>88</v>
      </c>
      <c r="F66" s="37" t="s">
        <v>115</v>
      </c>
      <c r="G66" s="26" t="s">
        <v>84</v>
      </c>
      <c r="H66" s="39" t="s">
        <v>226</v>
      </c>
      <c r="I66" s="39" t="s">
        <v>87</v>
      </c>
    </row>
    <row r="67" spans="1:9" x14ac:dyDescent="0.3">
      <c r="A67" s="48" t="s">
        <v>5</v>
      </c>
      <c r="B67" s="37" t="s">
        <v>5</v>
      </c>
      <c r="C67" s="45" t="s">
        <v>52</v>
      </c>
      <c r="D67" s="37" t="s">
        <v>114</v>
      </c>
      <c r="E67" s="29" t="s">
        <v>101</v>
      </c>
      <c r="F67" s="37" t="s">
        <v>116</v>
      </c>
      <c r="G67" s="22" t="s">
        <v>68</v>
      </c>
      <c r="H67" s="23" t="s">
        <v>227</v>
      </c>
      <c r="I67" s="23" t="s">
        <v>69</v>
      </c>
    </row>
    <row r="68" spans="1:9" x14ac:dyDescent="0.3">
      <c r="A68" s="48" t="s">
        <v>5</v>
      </c>
      <c r="B68" s="37" t="s">
        <v>5</v>
      </c>
      <c r="C68" s="45" t="s">
        <v>52</v>
      </c>
      <c r="D68" s="37" t="s">
        <v>117</v>
      </c>
      <c r="E68" s="29" t="s">
        <v>70</v>
      </c>
      <c r="F68" s="37" t="s">
        <v>118</v>
      </c>
      <c r="G68" s="26" t="s">
        <v>84</v>
      </c>
      <c r="H68" s="39" t="s">
        <v>226</v>
      </c>
      <c r="I68" s="39" t="s">
        <v>87</v>
      </c>
    </row>
    <row r="69" spans="1:9" x14ac:dyDescent="0.3">
      <c r="A69" s="48" t="s">
        <v>5</v>
      </c>
      <c r="B69" s="37" t="s">
        <v>5</v>
      </c>
      <c r="C69" s="45" t="s">
        <v>52</v>
      </c>
      <c r="D69" s="37" t="s">
        <v>117</v>
      </c>
      <c r="E69" s="29" t="s">
        <v>72</v>
      </c>
      <c r="F69" s="37" t="s">
        <v>119</v>
      </c>
      <c r="G69" s="26" t="s">
        <v>84</v>
      </c>
      <c r="H69" s="39" t="s">
        <v>226</v>
      </c>
      <c r="I69" s="39" t="s">
        <v>87</v>
      </c>
    </row>
    <row r="70" spans="1:9" x14ac:dyDescent="0.3">
      <c r="A70" s="48" t="s">
        <v>5</v>
      </c>
      <c r="B70" s="37" t="s">
        <v>5</v>
      </c>
      <c r="C70" s="45" t="s">
        <v>52</v>
      </c>
      <c r="D70" s="37" t="s">
        <v>117</v>
      </c>
      <c r="E70" s="29" t="s">
        <v>82</v>
      </c>
      <c r="F70" s="37" t="s">
        <v>120</v>
      </c>
      <c r="G70" s="22" t="s">
        <v>68</v>
      </c>
      <c r="H70" s="39" t="s">
        <v>226</v>
      </c>
      <c r="I70" s="39" t="s">
        <v>87</v>
      </c>
    </row>
    <row r="71" spans="1:9" x14ac:dyDescent="0.3">
      <c r="A71" s="48" t="s">
        <v>5</v>
      </c>
      <c r="B71" s="37" t="s">
        <v>5</v>
      </c>
      <c r="C71" s="45" t="s">
        <v>52</v>
      </c>
      <c r="D71" s="37" t="s">
        <v>111</v>
      </c>
      <c r="E71" s="29" t="s">
        <v>70</v>
      </c>
      <c r="F71" s="37" t="s">
        <v>112</v>
      </c>
      <c r="G71" s="26" t="s">
        <v>84</v>
      </c>
      <c r="H71" s="39" t="s">
        <v>226</v>
      </c>
      <c r="I71" s="39" t="s">
        <v>87</v>
      </c>
    </row>
    <row r="72" spans="1:9" x14ac:dyDescent="0.3">
      <c r="A72" s="48" t="s">
        <v>5</v>
      </c>
      <c r="B72" s="37" t="s">
        <v>5</v>
      </c>
      <c r="C72" s="45" t="s">
        <v>52</v>
      </c>
      <c r="D72" s="37" t="s">
        <v>111</v>
      </c>
      <c r="E72" s="29" t="s">
        <v>72</v>
      </c>
      <c r="F72" s="37" t="s">
        <v>113</v>
      </c>
      <c r="G72" s="22" t="s">
        <v>68</v>
      </c>
      <c r="H72" s="39" t="s">
        <v>226</v>
      </c>
      <c r="I72" s="39" t="s">
        <v>87</v>
      </c>
    </row>
    <row r="73" spans="1:9" x14ac:dyDescent="0.3">
      <c r="A73" s="48" t="s">
        <v>17</v>
      </c>
      <c r="B73" s="37" t="s">
        <v>17</v>
      </c>
      <c r="C73" s="45" t="s">
        <v>52</v>
      </c>
      <c r="D73" s="37" t="s">
        <v>121</v>
      </c>
      <c r="E73" s="29"/>
      <c r="F73" s="37" t="s">
        <v>186</v>
      </c>
      <c r="G73" s="22" t="s">
        <v>68</v>
      </c>
      <c r="H73" s="23" t="s">
        <v>227</v>
      </c>
      <c r="I73" s="23" t="s">
        <v>69</v>
      </c>
    </row>
    <row r="74" spans="1:9" x14ac:dyDescent="0.3">
      <c r="A74" s="48" t="s">
        <v>45</v>
      </c>
      <c r="B74" s="37" t="s">
        <v>45</v>
      </c>
      <c r="C74" s="45" t="s">
        <v>52</v>
      </c>
      <c r="D74" s="37" t="s">
        <v>121</v>
      </c>
      <c r="E74" s="29"/>
      <c r="F74" s="37" t="s">
        <v>191</v>
      </c>
      <c r="G74" s="22" t="s">
        <v>68</v>
      </c>
      <c r="H74" s="25" t="s">
        <v>228</v>
      </c>
      <c r="I74" s="25" t="s">
        <v>77</v>
      </c>
    </row>
    <row r="75" spans="1:9" x14ac:dyDescent="0.3">
      <c r="A75" s="48" t="s">
        <v>16</v>
      </c>
      <c r="B75" s="37" t="s">
        <v>16</v>
      </c>
      <c r="C75" s="45" t="s">
        <v>52</v>
      </c>
      <c r="D75" s="37" t="s">
        <v>121</v>
      </c>
      <c r="E75" s="29" t="s">
        <v>70</v>
      </c>
      <c r="F75" s="37" t="s">
        <v>168</v>
      </c>
      <c r="G75" s="26" t="s">
        <v>84</v>
      </c>
      <c r="H75" s="23" t="s">
        <v>227</v>
      </c>
      <c r="I75" s="23" t="s">
        <v>69</v>
      </c>
    </row>
    <row r="76" spans="1:9" x14ac:dyDescent="0.3">
      <c r="A76" s="48" t="s">
        <v>16</v>
      </c>
      <c r="B76" s="37" t="s">
        <v>16</v>
      </c>
      <c r="C76" s="45" t="s">
        <v>52</v>
      </c>
      <c r="D76" s="37" t="s">
        <v>121</v>
      </c>
      <c r="E76" s="29" t="s">
        <v>72</v>
      </c>
      <c r="F76" s="37" t="s">
        <v>169</v>
      </c>
      <c r="G76" s="22" t="s">
        <v>68</v>
      </c>
      <c r="H76" s="23" t="s">
        <v>227</v>
      </c>
      <c r="I76" s="23" t="s">
        <v>69</v>
      </c>
    </row>
    <row r="77" spans="1:9" x14ac:dyDescent="0.3">
      <c r="A77" s="48" t="s">
        <v>16</v>
      </c>
      <c r="B77" s="37" t="s">
        <v>16</v>
      </c>
      <c r="C77" s="45" t="s">
        <v>52</v>
      </c>
      <c r="D77" s="37" t="s">
        <v>121</v>
      </c>
      <c r="E77" s="29" t="s">
        <v>82</v>
      </c>
      <c r="F77" s="37" t="s">
        <v>170</v>
      </c>
      <c r="G77" s="22" t="s">
        <v>68</v>
      </c>
      <c r="H77" s="23" t="s">
        <v>227</v>
      </c>
      <c r="I77" s="23" t="s">
        <v>69</v>
      </c>
    </row>
    <row r="78" spans="1:9" x14ac:dyDescent="0.3">
      <c r="A78" s="48" t="s">
        <v>56</v>
      </c>
      <c r="B78" s="37" t="s">
        <v>56</v>
      </c>
      <c r="C78" s="45" t="s">
        <v>52</v>
      </c>
      <c r="D78" s="37" t="s">
        <v>121</v>
      </c>
      <c r="E78" s="29"/>
      <c r="F78" s="37" t="s">
        <v>201</v>
      </c>
      <c r="G78" s="22" t="s">
        <v>68</v>
      </c>
      <c r="H78" s="23" t="s">
        <v>227</v>
      </c>
      <c r="I78" s="23" t="s">
        <v>69</v>
      </c>
    </row>
    <row r="79" spans="1:9" x14ac:dyDescent="0.3">
      <c r="A79" s="48" t="s">
        <v>47</v>
      </c>
      <c r="B79" s="37" t="s">
        <v>21</v>
      </c>
      <c r="C79" s="45" t="s">
        <v>52</v>
      </c>
      <c r="D79" s="37" t="s">
        <v>121</v>
      </c>
      <c r="E79" s="29"/>
      <c r="F79" s="37" t="s">
        <v>196</v>
      </c>
      <c r="G79" s="26" t="s">
        <v>84</v>
      </c>
      <c r="H79" s="23" t="s">
        <v>227</v>
      </c>
      <c r="I79" s="23" t="s">
        <v>69</v>
      </c>
    </row>
    <row r="80" spans="1:9" x14ac:dyDescent="0.3">
      <c r="A80" s="48" t="s">
        <v>19</v>
      </c>
      <c r="B80" s="37" t="s">
        <v>19</v>
      </c>
      <c r="C80" s="45" t="s">
        <v>52</v>
      </c>
      <c r="D80" s="37" t="s">
        <v>121</v>
      </c>
      <c r="E80" s="29" t="s">
        <v>70</v>
      </c>
      <c r="F80" s="37" t="s">
        <v>177</v>
      </c>
      <c r="G80" s="22" t="s">
        <v>68</v>
      </c>
      <c r="H80" s="23" t="s">
        <v>227</v>
      </c>
      <c r="I80" s="23" t="s">
        <v>69</v>
      </c>
    </row>
    <row r="81" spans="1:9" x14ac:dyDescent="0.3">
      <c r="A81" s="48" t="s">
        <v>19</v>
      </c>
      <c r="B81" s="37" t="s">
        <v>19</v>
      </c>
      <c r="C81" s="45" t="s">
        <v>52</v>
      </c>
      <c r="D81" s="37" t="s">
        <v>121</v>
      </c>
      <c r="E81" s="29" t="s">
        <v>72</v>
      </c>
      <c r="F81" s="37" t="s">
        <v>178</v>
      </c>
      <c r="G81" s="22" t="s">
        <v>68</v>
      </c>
      <c r="H81" s="23" t="s">
        <v>227</v>
      </c>
      <c r="I81" s="23" t="s">
        <v>69</v>
      </c>
    </row>
    <row r="82" spans="1:9" x14ac:dyDescent="0.3">
      <c r="A82" s="48" t="s">
        <v>48</v>
      </c>
      <c r="B82" s="37" t="s">
        <v>18</v>
      </c>
      <c r="C82" s="45" t="s">
        <v>52</v>
      </c>
      <c r="D82" s="37" t="s">
        <v>121</v>
      </c>
      <c r="E82" s="29"/>
      <c r="F82" s="37" t="s">
        <v>206</v>
      </c>
      <c r="G82" s="26" t="s">
        <v>84</v>
      </c>
      <c r="H82" s="23" t="s">
        <v>227</v>
      </c>
      <c r="I82" s="23" t="s">
        <v>69</v>
      </c>
    </row>
    <row r="83" spans="1:9" x14ac:dyDescent="0.3">
      <c r="A83" s="48" t="s">
        <v>5</v>
      </c>
      <c r="B83" s="37" t="s">
        <v>5</v>
      </c>
      <c r="C83" s="45" t="s">
        <v>52</v>
      </c>
      <c r="D83" s="37" t="s">
        <v>109</v>
      </c>
      <c r="E83" s="29"/>
      <c r="F83" s="37" t="s">
        <v>110</v>
      </c>
      <c r="G83" s="22" t="s">
        <v>68</v>
      </c>
      <c r="H83" s="23" t="s">
        <v>227</v>
      </c>
      <c r="I83" s="23" t="s">
        <v>69</v>
      </c>
    </row>
    <row r="84" spans="1:9" x14ac:dyDescent="0.3">
      <c r="A84" s="48" t="s">
        <v>5</v>
      </c>
      <c r="B84" s="37" t="s">
        <v>5</v>
      </c>
      <c r="C84" s="44" t="s">
        <v>51</v>
      </c>
      <c r="D84" s="37" t="s">
        <v>145</v>
      </c>
      <c r="E84" s="29" t="s">
        <v>70</v>
      </c>
      <c r="F84" s="37" t="s">
        <v>146</v>
      </c>
      <c r="G84" s="22" t="s">
        <v>68</v>
      </c>
      <c r="H84" s="39" t="s">
        <v>226</v>
      </c>
      <c r="I84" s="39" t="s">
        <v>87</v>
      </c>
    </row>
    <row r="85" spans="1:9" x14ac:dyDescent="0.3">
      <c r="A85" s="48" t="s">
        <v>5</v>
      </c>
      <c r="B85" s="37" t="s">
        <v>5</v>
      </c>
      <c r="C85" s="44" t="s">
        <v>51</v>
      </c>
      <c r="D85" s="37" t="s">
        <v>145</v>
      </c>
      <c r="E85" s="29" t="s">
        <v>72</v>
      </c>
      <c r="F85" s="37" t="s">
        <v>147</v>
      </c>
      <c r="G85" s="22" t="s">
        <v>68</v>
      </c>
      <c r="H85" s="23" t="s">
        <v>227</v>
      </c>
      <c r="I85" s="23" t="s">
        <v>69</v>
      </c>
    </row>
    <row r="86" spans="1:9" x14ac:dyDescent="0.3">
      <c r="A86" s="48" t="s">
        <v>5</v>
      </c>
      <c r="B86" s="37" t="s">
        <v>5</v>
      </c>
      <c r="C86" s="44" t="s">
        <v>51</v>
      </c>
      <c r="D86" s="37" t="s">
        <v>138</v>
      </c>
      <c r="E86" s="29" t="s">
        <v>82</v>
      </c>
      <c r="F86" s="37" t="s">
        <v>139</v>
      </c>
      <c r="G86" s="26" t="s">
        <v>84</v>
      </c>
      <c r="H86" s="39" t="s">
        <v>226</v>
      </c>
      <c r="I86" s="39" t="s">
        <v>87</v>
      </c>
    </row>
    <row r="87" spans="1:9" x14ac:dyDescent="0.3">
      <c r="A87" s="48" t="s">
        <v>5</v>
      </c>
      <c r="B87" s="37" t="s">
        <v>5</v>
      </c>
      <c r="C87" s="44" t="s">
        <v>51</v>
      </c>
      <c r="D87" s="37" t="s">
        <v>138</v>
      </c>
      <c r="E87" s="29" t="s">
        <v>85</v>
      </c>
      <c r="F87" s="37" t="s">
        <v>140</v>
      </c>
      <c r="G87" s="22" t="s">
        <v>68</v>
      </c>
      <c r="H87" s="23" t="s">
        <v>227</v>
      </c>
      <c r="I87" s="23" t="s">
        <v>69</v>
      </c>
    </row>
    <row r="88" spans="1:9" x14ac:dyDescent="0.3">
      <c r="A88" s="48" t="s">
        <v>5</v>
      </c>
      <c r="B88" s="37" t="s">
        <v>5</v>
      </c>
      <c r="C88" s="44" t="s">
        <v>51</v>
      </c>
      <c r="D88" s="37" t="s">
        <v>135</v>
      </c>
      <c r="E88" s="29" t="s">
        <v>88</v>
      </c>
      <c r="F88" s="37" t="s">
        <v>136</v>
      </c>
      <c r="G88" s="26" t="s">
        <v>84</v>
      </c>
      <c r="H88" s="23" t="s">
        <v>227</v>
      </c>
      <c r="I88" s="23" t="s">
        <v>69</v>
      </c>
    </row>
    <row r="89" spans="1:9" x14ac:dyDescent="0.3">
      <c r="A89" s="48" t="s">
        <v>5</v>
      </c>
      <c r="B89" s="37" t="s">
        <v>5</v>
      </c>
      <c r="C89" s="44" t="s">
        <v>51</v>
      </c>
      <c r="D89" s="37" t="s">
        <v>145</v>
      </c>
      <c r="E89" s="29" t="s">
        <v>101</v>
      </c>
      <c r="F89" s="37" t="s">
        <v>148</v>
      </c>
      <c r="G89" s="22" t="s">
        <v>68</v>
      </c>
      <c r="H89" s="39" t="s">
        <v>226</v>
      </c>
      <c r="I89" s="39" t="s">
        <v>87</v>
      </c>
    </row>
    <row r="90" spans="1:9" x14ac:dyDescent="0.3">
      <c r="A90" s="48" t="s">
        <v>5</v>
      </c>
      <c r="B90" s="37" t="s">
        <v>5</v>
      </c>
      <c r="C90" s="44" t="s">
        <v>51</v>
      </c>
      <c r="D90" s="37" t="s">
        <v>135</v>
      </c>
      <c r="E90" s="29" t="s">
        <v>105</v>
      </c>
      <c r="F90" s="37" t="s">
        <v>137</v>
      </c>
      <c r="G90" s="26" t="s">
        <v>84</v>
      </c>
      <c r="H90" s="39" t="s">
        <v>226</v>
      </c>
      <c r="I90" s="39" t="s">
        <v>87</v>
      </c>
    </row>
    <row r="91" spans="1:9" x14ac:dyDescent="0.3">
      <c r="A91" s="48" t="s">
        <v>5</v>
      </c>
      <c r="B91" s="37" t="s">
        <v>5</v>
      </c>
      <c r="C91" s="44" t="s">
        <v>51</v>
      </c>
      <c r="D91" s="37" t="s">
        <v>141</v>
      </c>
      <c r="E91" s="29" t="s">
        <v>70</v>
      </c>
      <c r="F91" s="37" t="s">
        <v>142</v>
      </c>
      <c r="G91" s="22" t="s">
        <v>68</v>
      </c>
      <c r="H91" s="39" t="s">
        <v>226</v>
      </c>
      <c r="I91" s="39" t="s">
        <v>87</v>
      </c>
    </row>
    <row r="92" spans="1:9" x14ac:dyDescent="0.3">
      <c r="A92" s="48" t="s">
        <v>5</v>
      </c>
      <c r="B92" s="37" t="s">
        <v>5</v>
      </c>
      <c r="C92" s="44" t="s">
        <v>51</v>
      </c>
      <c r="D92" s="37" t="s">
        <v>141</v>
      </c>
      <c r="E92" s="29" t="s">
        <v>72</v>
      </c>
      <c r="F92" s="37" t="s">
        <v>143</v>
      </c>
      <c r="G92" s="26" t="s">
        <v>84</v>
      </c>
      <c r="H92" s="39" t="s">
        <v>226</v>
      </c>
      <c r="I92" s="39" t="s">
        <v>87</v>
      </c>
    </row>
    <row r="93" spans="1:9" x14ac:dyDescent="0.3">
      <c r="A93" s="48" t="s">
        <v>5</v>
      </c>
      <c r="B93" s="37" t="s">
        <v>5</v>
      </c>
      <c r="C93" s="44" t="s">
        <v>51</v>
      </c>
      <c r="D93" s="37" t="s">
        <v>141</v>
      </c>
      <c r="E93" s="29" t="s">
        <v>82</v>
      </c>
      <c r="F93" s="37" t="s">
        <v>144</v>
      </c>
      <c r="G93" s="22" t="s">
        <v>68</v>
      </c>
      <c r="H93" s="39" t="s">
        <v>226</v>
      </c>
      <c r="I93" s="39" t="s">
        <v>87</v>
      </c>
    </row>
    <row r="94" spans="1:9" x14ac:dyDescent="0.3">
      <c r="A94" s="48" t="s">
        <v>16</v>
      </c>
      <c r="B94" s="37" t="s">
        <v>16</v>
      </c>
      <c r="C94" s="44" t="s">
        <v>51</v>
      </c>
      <c r="D94" s="37" t="s">
        <v>145</v>
      </c>
      <c r="E94" s="29" t="s">
        <v>70</v>
      </c>
      <c r="F94" s="37" t="s">
        <v>172</v>
      </c>
      <c r="G94" s="22" t="s">
        <v>68</v>
      </c>
      <c r="H94" s="23" t="s">
        <v>227</v>
      </c>
      <c r="I94" s="23" t="s">
        <v>69</v>
      </c>
    </row>
    <row r="95" spans="1:9" x14ac:dyDescent="0.3">
      <c r="A95" s="48" t="s">
        <v>16</v>
      </c>
      <c r="B95" s="37" t="s">
        <v>16</v>
      </c>
      <c r="C95" s="44" t="s">
        <v>51</v>
      </c>
      <c r="D95" s="37" t="s">
        <v>138</v>
      </c>
      <c r="E95" s="29" t="s">
        <v>72</v>
      </c>
      <c r="F95" s="37" t="s">
        <v>171</v>
      </c>
      <c r="G95" s="22" t="s">
        <v>68</v>
      </c>
      <c r="H95" s="25" t="s">
        <v>228</v>
      </c>
      <c r="I95" s="25" t="s">
        <v>77</v>
      </c>
    </row>
    <row r="96" spans="1:9" x14ac:dyDescent="0.3">
      <c r="A96" s="48" t="s">
        <v>19</v>
      </c>
      <c r="B96" s="37" t="s">
        <v>19</v>
      </c>
      <c r="C96" s="44" t="s">
        <v>51</v>
      </c>
      <c r="D96" s="37" t="s">
        <v>145</v>
      </c>
      <c r="E96" s="29" t="s">
        <v>70</v>
      </c>
      <c r="F96" s="37" t="s">
        <v>179</v>
      </c>
      <c r="G96" s="26" t="s">
        <v>84</v>
      </c>
      <c r="H96" s="23" t="s">
        <v>227</v>
      </c>
      <c r="I96" s="23" t="s">
        <v>69</v>
      </c>
    </row>
    <row r="97" spans="1:9" x14ac:dyDescent="0.3">
      <c r="A97" s="48" t="s">
        <v>19</v>
      </c>
      <c r="B97" s="37" t="s">
        <v>19</v>
      </c>
      <c r="C97" s="44" t="s">
        <v>51</v>
      </c>
      <c r="D97" s="37" t="s">
        <v>145</v>
      </c>
      <c r="E97" s="29" t="s">
        <v>72</v>
      </c>
      <c r="F97" s="37" t="s">
        <v>180</v>
      </c>
      <c r="G97" s="22" t="s">
        <v>68</v>
      </c>
      <c r="H97" s="23" t="s">
        <v>227</v>
      </c>
      <c r="I97" s="23" t="s">
        <v>69</v>
      </c>
    </row>
    <row r="98" spans="1:9" x14ac:dyDescent="0.3">
      <c r="A98" s="48" t="s">
        <v>48</v>
      </c>
      <c r="B98" s="37" t="s">
        <v>18</v>
      </c>
      <c r="C98" s="44" t="s">
        <v>51</v>
      </c>
      <c r="D98" s="37" t="s">
        <v>145</v>
      </c>
      <c r="E98" s="29"/>
      <c r="F98" s="37" t="s">
        <v>207</v>
      </c>
      <c r="G98" s="22" t="s">
        <v>68</v>
      </c>
      <c r="H98" s="25" t="s">
        <v>228</v>
      </c>
      <c r="I98" s="25" t="s">
        <v>77</v>
      </c>
    </row>
    <row r="99" spans="1:9" x14ac:dyDescent="0.3">
      <c r="A99" s="48" t="s">
        <v>17</v>
      </c>
      <c r="B99" s="37" t="s">
        <v>17</v>
      </c>
      <c r="C99" s="44" t="s">
        <v>51</v>
      </c>
      <c r="D99" s="37" t="s">
        <v>145</v>
      </c>
      <c r="E99" s="29"/>
      <c r="F99" s="37" t="s">
        <v>187</v>
      </c>
      <c r="G99" s="22" t="s">
        <v>68</v>
      </c>
      <c r="H99" s="23" t="s">
        <v>227</v>
      </c>
      <c r="I99" s="23" t="s">
        <v>69</v>
      </c>
    </row>
    <row r="100" spans="1:9" x14ac:dyDescent="0.3">
      <c r="A100" s="48" t="s">
        <v>45</v>
      </c>
      <c r="B100" s="37" t="s">
        <v>45</v>
      </c>
      <c r="C100" s="44" t="s">
        <v>51</v>
      </c>
      <c r="D100" s="37" t="s">
        <v>145</v>
      </c>
      <c r="E100" s="29"/>
      <c r="F100" s="37" t="s">
        <v>192</v>
      </c>
      <c r="G100" s="22" t="s">
        <v>68</v>
      </c>
      <c r="H100" s="23" t="s">
        <v>227</v>
      </c>
      <c r="I100" s="23" t="s">
        <v>69</v>
      </c>
    </row>
    <row r="101" spans="1:9" x14ac:dyDescent="0.3">
      <c r="A101" s="48" t="s">
        <v>47</v>
      </c>
      <c r="B101" s="37" t="s">
        <v>21</v>
      </c>
      <c r="C101" s="44" t="s">
        <v>51</v>
      </c>
      <c r="D101" s="37" t="s">
        <v>145</v>
      </c>
      <c r="E101" s="29"/>
      <c r="F101" s="37" t="s">
        <v>197</v>
      </c>
      <c r="G101" s="26" t="s">
        <v>84</v>
      </c>
      <c r="H101" s="23" t="s">
        <v>227</v>
      </c>
      <c r="I101" s="23" t="s">
        <v>69</v>
      </c>
    </row>
    <row r="102" spans="1:9" x14ac:dyDescent="0.3">
      <c r="A102" s="48" t="s">
        <v>56</v>
      </c>
      <c r="B102" s="37" t="s">
        <v>56</v>
      </c>
      <c r="C102" s="44" t="s">
        <v>51</v>
      </c>
      <c r="D102" s="37" t="s">
        <v>145</v>
      </c>
      <c r="E102" s="29"/>
      <c r="F102" s="37" t="s">
        <v>202</v>
      </c>
      <c r="G102" s="22" t="s">
        <v>68</v>
      </c>
      <c r="H102" s="23" t="s">
        <v>227</v>
      </c>
      <c r="I102" s="23" t="s">
        <v>69</v>
      </c>
    </row>
    <row r="103" spans="1:9" x14ac:dyDescent="0.3">
      <c r="A103" s="48" t="s">
        <v>5</v>
      </c>
      <c r="B103" s="37" t="s">
        <v>5</v>
      </c>
      <c r="C103" s="44" t="s">
        <v>51</v>
      </c>
      <c r="D103" s="37" t="s">
        <v>133</v>
      </c>
      <c r="E103" s="29"/>
      <c r="F103" s="37" t="s">
        <v>134</v>
      </c>
      <c r="G103" s="22" t="s">
        <v>68</v>
      </c>
      <c r="H103" s="25" t="s">
        <v>228</v>
      </c>
      <c r="I103" s="25" t="s">
        <v>77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099FA-94FE-4205-A7C7-0A392B930135}">
  <sheetPr>
    <tabColor theme="7"/>
  </sheetPr>
  <dimension ref="A1:F27"/>
  <sheetViews>
    <sheetView zoomScaleNormal="100" workbookViewId="0">
      <selection activeCell="N24" sqref="N24"/>
    </sheetView>
  </sheetViews>
  <sheetFormatPr baseColWidth="10" defaultColWidth="8.6640625" defaultRowHeight="14.4" x14ac:dyDescent="0.3"/>
  <cols>
    <col min="1" max="1" width="20" style="2" customWidth="1"/>
    <col min="2" max="4" width="14" style="2" customWidth="1"/>
    <col min="5" max="6" width="13" style="2" customWidth="1"/>
    <col min="7" max="16384" width="8.6640625" style="2"/>
  </cols>
  <sheetData>
    <row r="1" spans="1:6" ht="27.75" customHeight="1" x14ac:dyDescent="0.3">
      <c r="A1" s="70" t="s">
        <v>242</v>
      </c>
      <c r="B1" s="70"/>
      <c r="C1" s="70"/>
      <c r="D1" s="70"/>
      <c r="E1" s="70"/>
      <c r="F1" s="70"/>
    </row>
    <row r="3" spans="1:6" ht="15" customHeight="1" x14ac:dyDescent="0.3">
      <c r="A3" s="71" t="s">
        <v>243</v>
      </c>
      <c r="B3" s="71"/>
      <c r="C3" s="71"/>
      <c r="D3" s="71"/>
      <c r="E3" s="71"/>
      <c r="F3" s="71"/>
    </row>
    <row r="4" spans="1:6" ht="26.4" x14ac:dyDescent="0.3">
      <c r="A4" s="53" t="s">
        <v>62</v>
      </c>
      <c r="B4" s="53" t="s">
        <v>2</v>
      </c>
      <c r="C4" s="53" t="s">
        <v>3</v>
      </c>
      <c r="D4" s="53" t="s">
        <v>4</v>
      </c>
      <c r="E4" s="53" t="s">
        <v>244</v>
      </c>
      <c r="F4" s="53" t="s">
        <v>245</v>
      </c>
    </row>
    <row r="5" spans="1:6" x14ac:dyDescent="0.3">
      <c r="A5" s="54" t="s">
        <v>5</v>
      </c>
      <c r="B5" s="6">
        <v>40546</v>
      </c>
      <c r="C5" s="6">
        <v>40027</v>
      </c>
      <c r="D5" s="6">
        <v>43</v>
      </c>
      <c r="E5" s="8">
        <f t="shared" ref="E5:E13" si="0">IF(B5&gt;0,C5/B5,"")</f>
        <v>0.98719972377053222</v>
      </c>
      <c r="F5" s="7">
        <f t="shared" ref="F5:F13" si="1">IF(B5&gt;0,D5/B5,"")</f>
        <v>1.06052384945494E-3</v>
      </c>
    </row>
    <row r="6" spans="1:6" x14ac:dyDescent="0.3">
      <c r="A6" s="55" t="s">
        <v>16</v>
      </c>
      <c r="B6" s="6">
        <v>2895</v>
      </c>
      <c r="C6" s="6">
        <v>2824</v>
      </c>
      <c r="D6" s="6">
        <v>45</v>
      </c>
      <c r="E6" s="8">
        <f t="shared" si="0"/>
        <v>0.97547495682210705</v>
      </c>
      <c r="F6" s="7">
        <f t="shared" si="1"/>
        <v>1.5544041450777202E-2</v>
      </c>
    </row>
    <row r="7" spans="1:6" x14ac:dyDescent="0.3">
      <c r="A7" s="56" t="s">
        <v>17</v>
      </c>
      <c r="B7" s="6">
        <v>2904</v>
      </c>
      <c r="C7" s="6">
        <v>2883</v>
      </c>
      <c r="D7" s="6">
        <v>491</v>
      </c>
      <c r="E7" s="8">
        <f t="shared" si="0"/>
        <v>0.99276859504132231</v>
      </c>
      <c r="F7" s="7">
        <f t="shared" si="1"/>
        <v>0.1690771349862259</v>
      </c>
    </row>
    <row r="8" spans="1:6" x14ac:dyDescent="0.3">
      <c r="A8" s="57" t="s">
        <v>18</v>
      </c>
      <c r="B8" s="6">
        <v>2424</v>
      </c>
      <c r="C8" s="6">
        <v>2421</v>
      </c>
      <c r="D8" s="6">
        <v>63</v>
      </c>
      <c r="E8" s="8">
        <f t="shared" si="0"/>
        <v>0.99876237623762376</v>
      </c>
      <c r="F8" s="7">
        <f t="shared" si="1"/>
        <v>2.5990099009900989E-2</v>
      </c>
    </row>
    <row r="9" spans="1:6" x14ac:dyDescent="0.3">
      <c r="A9" s="58" t="s">
        <v>19</v>
      </c>
      <c r="B9" s="6">
        <v>6702</v>
      </c>
      <c r="C9" s="6">
        <v>6677</v>
      </c>
      <c r="D9" s="6">
        <v>263</v>
      </c>
      <c r="E9" s="8">
        <f t="shared" si="0"/>
        <v>0.99626977021784546</v>
      </c>
      <c r="F9" s="7">
        <f t="shared" si="1"/>
        <v>3.9242017308266187E-2</v>
      </c>
    </row>
    <row r="10" spans="1:6" x14ac:dyDescent="0.3">
      <c r="A10" s="59" t="s">
        <v>20</v>
      </c>
      <c r="B10" s="6">
        <v>2866</v>
      </c>
      <c r="C10" s="6">
        <v>2863</v>
      </c>
      <c r="D10" s="6">
        <v>267</v>
      </c>
      <c r="E10" s="8">
        <f t="shared" si="0"/>
        <v>0.99895324494068383</v>
      </c>
      <c r="F10" s="7">
        <f t="shared" si="1"/>
        <v>9.3161200279134687E-2</v>
      </c>
    </row>
    <row r="11" spans="1:6" x14ac:dyDescent="0.3">
      <c r="A11" s="60" t="s">
        <v>21</v>
      </c>
      <c r="B11" s="6">
        <v>1954</v>
      </c>
      <c r="C11" s="6">
        <v>1884</v>
      </c>
      <c r="D11" s="6">
        <v>283</v>
      </c>
      <c r="E11" s="8">
        <f t="shared" si="0"/>
        <v>0.96417604912998978</v>
      </c>
      <c r="F11" s="7">
        <f t="shared" si="1"/>
        <v>0.14483111566018425</v>
      </c>
    </row>
    <row r="12" spans="1:6" x14ac:dyDescent="0.3">
      <c r="A12" s="61" t="s">
        <v>22</v>
      </c>
      <c r="B12" s="6">
        <v>536</v>
      </c>
      <c r="C12" s="6">
        <v>522</v>
      </c>
      <c r="D12" s="6">
        <v>115</v>
      </c>
      <c r="E12" s="8">
        <f t="shared" si="0"/>
        <v>0.97388059701492535</v>
      </c>
      <c r="F12" s="7">
        <f t="shared" si="1"/>
        <v>0.21455223880597016</v>
      </c>
    </row>
    <row r="13" spans="1:6" x14ac:dyDescent="0.3">
      <c r="A13" s="62" t="s">
        <v>38</v>
      </c>
      <c r="B13" s="63">
        <f>SUM(B5:B12)</f>
        <v>60827</v>
      </c>
      <c r="C13" s="63">
        <f>SUM(C5:C12)</f>
        <v>60101</v>
      </c>
      <c r="D13" s="63">
        <f>SUM(D5:D12)</f>
        <v>1570</v>
      </c>
      <c r="E13" s="64">
        <f t="shared" si="0"/>
        <v>0.98806451082578461</v>
      </c>
      <c r="F13" s="64">
        <f t="shared" si="1"/>
        <v>2.5810906340934126E-2</v>
      </c>
    </row>
    <row r="15" spans="1:6" ht="15" customHeight="1" x14ac:dyDescent="0.3">
      <c r="A15" s="72" t="s">
        <v>246</v>
      </c>
      <c r="B15" s="72"/>
      <c r="C15" s="72"/>
      <c r="D15" s="72"/>
      <c r="E15" s="72"/>
      <c r="F15" s="72"/>
    </row>
    <row r="16" spans="1:6" x14ac:dyDescent="0.3">
      <c r="A16" s="53" t="s">
        <v>0</v>
      </c>
      <c r="B16" s="53" t="s">
        <v>36</v>
      </c>
      <c r="C16" s="53" t="s">
        <v>37</v>
      </c>
      <c r="D16" s="53" t="s">
        <v>38</v>
      </c>
      <c r="E16" s="53" t="s">
        <v>247</v>
      </c>
      <c r="F16" s="53" t="s">
        <v>248</v>
      </c>
    </row>
    <row r="17" spans="1:6" x14ac:dyDescent="0.3">
      <c r="A17" s="54" t="s">
        <v>42</v>
      </c>
      <c r="B17" s="6">
        <v>432453</v>
      </c>
      <c r="C17" s="6">
        <v>471549</v>
      </c>
      <c r="D17" s="6">
        <v>904002</v>
      </c>
      <c r="E17" s="65">
        <f t="shared" ref="E17:E25" si="2">IF(D17&gt;0,C17/D17,"")</f>
        <v>0.5216238459649426</v>
      </c>
      <c r="F17" s="8">
        <v>2E-3</v>
      </c>
    </row>
    <row r="18" spans="1:6" x14ac:dyDescent="0.3">
      <c r="A18" s="55" t="s">
        <v>5</v>
      </c>
      <c r="B18" s="6">
        <v>261358</v>
      </c>
      <c r="C18" s="6">
        <v>292490</v>
      </c>
      <c r="D18" s="6">
        <v>553848</v>
      </c>
      <c r="E18" s="65">
        <f t="shared" si="2"/>
        <v>0.52810518409383078</v>
      </c>
      <c r="F18" s="8">
        <v>2E-3</v>
      </c>
    </row>
    <row r="19" spans="1:6" x14ac:dyDescent="0.3">
      <c r="A19" s="56" t="s">
        <v>45</v>
      </c>
      <c r="B19" s="6">
        <v>26822</v>
      </c>
      <c r="C19" s="6">
        <v>29608</v>
      </c>
      <c r="D19" s="6">
        <v>56430</v>
      </c>
      <c r="E19" s="65">
        <f t="shared" si="2"/>
        <v>0.52468545100124042</v>
      </c>
      <c r="F19" s="8">
        <v>2E-3</v>
      </c>
    </row>
    <row r="20" spans="1:6" x14ac:dyDescent="0.3">
      <c r="A20" s="57" t="s">
        <v>19</v>
      </c>
      <c r="B20" s="6">
        <v>40270</v>
      </c>
      <c r="C20" s="6">
        <v>44244</v>
      </c>
      <c r="D20" s="6">
        <v>84514</v>
      </c>
      <c r="E20" s="65">
        <f t="shared" si="2"/>
        <v>0.52351089760276404</v>
      </c>
      <c r="F20" s="8">
        <v>2E-3</v>
      </c>
    </row>
    <row r="21" spans="1:6" x14ac:dyDescent="0.3">
      <c r="A21" s="58" t="s">
        <v>46</v>
      </c>
      <c r="B21" s="6">
        <v>11227</v>
      </c>
      <c r="C21" s="6">
        <v>12255</v>
      </c>
      <c r="D21" s="6">
        <v>23482</v>
      </c>
      <c r="E21" s="65">
        <f t="shared" si="2"/>
        <v>0.52188910654969767</v>
      </c>
      <c r="F21" s="8">
        <v>2E-3</v>
      </c>
    </row>
    <row r="22" spans="1:6" x14ac:dyDescent="0.3">
      <c r="A22" s="59" t="s">
        <v>16</v>
      </c>
      <c r="B22" s="6">
        <v>43851</v>
      </c>
      <c r="C22" s="6">
        <v>47091</v>
      </c>
      <c r="D22" s="6">
        <v>90942</v>
      </c>
      <c r="E22" s="65">
        <f t="shared" si="2"/>
        <v>0.51781355149435904</v>
      </c>
      <c r="F22" s="8">
        <v>2E-3</v>
      </c>
    </row>
    <row r="23" spans="1:6" x14ac:dyDescent="0.3">
      <c r="A23" s="60" t="s">
        <v>47</v>
      </c>
      <c r="B23" s="6">
        <v>22611</v>
      </c>
      <c r="C23" s="6">
        <v>18388</v>
      </c>
      <c r="D23" s="6">
        <v>40999</v>
      </c>
      <c r="E23" s="65">
        <f t="shared" si="2"/>
        <v>0.44849874387180177</v>
      </c>
      <c r="F23" s="8">
        <v>2E-3</v>
      </c>
    </row>
    <row r="24" spans="1:6" x14ac:dyDescent="0.3">
      <c r="A24" s="61" t="s">
        <v>17</v>
      </c>
      <c r="B24" s="6">
        <v>26314</v>
      </c>
      <c r="C24" s="6">
        <v>27473</v>
      </c>
      <c r="D24" s="6">
        <v>53787</v>
      </c>
      <c r="E24" s="65">
        <f t="shared" si="2"/>
        <v>0.51077397884247122</v>
      </c>
      <c r="F24" s="8">
        <v>2E-3</v>
      </c>
    </row>
    <row r="25" spans="1:6" x14ac:dyDescent="0.3">
      <c r="A25" s="66" t="s">
        <v>48</v>
      </c>
      <c r="B25" s="6">
        <v>31347</v>
      </c>
      <c r="C25" s="6">
        <v>32571</v>
      </c>
      <c r="D25" s="6">
        <v>63918</v>
      </c>
      <c r="E25" s="65">
        <f t="shared" si="2"/>
        <v>0.50957476767107857</v>
      </c>
      <c r="F25" s="18">
        <v>-2.7E-2</v>
      </c>
    </row>
    <row r="27" spans="1:6" x14ac:dyDescent="0.3">
      <c r="A27" s="73" t="s">
        <v>249</v>
      </c>
      <c r="B27" s="73"/>
      <c r="C27" s="73"/>
      <c r="D27" s="73"/>
      <c r="E27" s="73"/>
      <c r="F27" s="73"/>
    </row>
  </sheetData>
  <mergeCells count="4">
    <mergeCell ref="A1:F1"/>
    <mergeCell ref="A3:F3"/>
    <mergeCell ref="A15:F15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EC744-45E3-4F43-95EC-1C0DE0EE1D1C}">
  <sheetPr>
    <tabColor theme="7"/>
  </sheetPr>
  <dimension ref="A1:G81"/>
  <sheetViews>
    <sheetView tabSelected="1" topLeftCell="A51" zoomScaleNormal="100" workbookViewId="0">
      <selection activeCell="I13" sqref="I13"/>
    </sheetView>
  </sheetViews>
  <sheetFormatPr baseColWidth="10" defaultColWidth="8.6640625" defaultRowHeight="14.4" x14ac:dyDescent="0.3"/>
  <cols>
    <col min="1" max="1" width="18" style="2" customWidth="1"/>
    <col min="2" max="2" width="12" style="2" customWidth="1"/>
    <col min="3" max="3" width="14" style="2" customWidth="1"/>
    <col min="4" max="4" width="15.21875" style="2" bestFit="1" customWidth="1"/>
    <col min="5" max="6" width="14" style="2" customWidth="1"/>
    <col min="7" max="7" width="16" style="2" customWidth="1"/>
    <col min="8" max="16384" width="8.6640625" style="2"/>
  </cols>
  <sheetData>
    <row r="1" spans="1:7" ht="26.4" x14ac:dyDescent="0.3">
      <c r="A1" s="49" t="s">
        <v>62</v>
      </c>
      <c r="B1" s="49" t="s">
        <v>1</v>
      </c>
      <c r="C1" s="49" t="s">
        <v>35</v>
      </c>
      <c r="D1" s="49" t="s">
        <v>2</v>
      </c>
      <c r="E1" s="49" t="s">
        <v>3</v>
      </c>
      <c r="F1" s="49" t="s">
        <v>4</v>
      </c>
      <c r="G1" s="49" t="s">
        <v>250</v>
      </c>
    </row>
    <row r="2" spans="1:7" x14ac:dyDescent="0.3">
      <c r="A2" s="4" t="s">
        <v>5</v>
      </c>
      <c r="B2" s="5" t="s">
        <v>6</v>
      </c>
      <c r="C2" s="5" t="s">
        <v>251</v>
      </c>
      <c r="D2" s="5">
        <v>16159</v>
      </c>
      <c r="E2" s="5">
        <v>14326</v>
      </c>
      <c r="F2" s="5">
        <v>4470</v>
      </c>
      <c r="G2" s="7">
        <f t="shared" ref="G2:G31" si="0">IF(D2&gt;0,E2/D2,"")</f>
        <v>0.88656476267095741</v>
      </c>
    </row>
    <row r="3" spans="1:7" x14ac:dyDescent="0.3">
      <c r="A3" s="4" t="s">
        <v>5</v>
      </c>
      <c r="B3" s="5" t="s">
        <v>7</v>
      </c>
      <c r="C3" s="5" t="s">
        <v>251</v>
      </c>
      <c r="D3" s="5">
        <v>19221</v>
      </c>
      <c r="E3" s="5">
        <v>18989</v>
      </c>
      <c r="F3" s="5">
        <v>2517</v>
      </c>
      <c r="G3" s="7">
        <f t="shared" si="0"/>
        <v>0.98792986837313357</v>
      </c>
    </row>
    <row r="4" spans="1:7" x14ac:dyDescent="0.3">
      <c r="A4" s="4" t="s">
        <v>5</v>
      </c>
      <c r="B4" s="5" t="s">
        <v>8</v>
      </c>
      <c r="C4" s="5" t="s">
        <v>251</v>
      </c>
      <c r="D4" s="5">
        <v>24303</v>
      </c>
      <c r="E4" s="5">
        <v>23560</v>
      </c>
      <c r="F4" s="5">
        <v>80</v>
      </c>
      <c r="G4" s="7">
        <f t="shared" si="0"/>
        <v>0.96942764267785875</v>
      </c>
    </row>
    <row r="5" spans="1:7" x14ac:dyDescent="0.3">
      <c r="A5" s="4" t="s">
        <v>5</v>
      </c>
      <c r="B5" s="5" t="s">
        <v>9</v>
      </c>
      <c r="C5" s="5" t="s">
        <v>251</v>
      </c>
      <c r="D5" s="5">
        <v>15554</v>
      </c>
      <c r="E5" s="5">
        <v>11704</v>
      </c>
      <c r="F5" s="5">
        <v>229</v>
      </c>
      <c r="G5" s="7">
        <f t="shared" si="0"/>
        <v>0.75247524752475248</v>
      </c>
    </row>
    <row r="6" spans="1:7" x14ac:dyDescent="0.3">
      <c r="A6" s="4" t="s">
        <v>5</v>
      </c>
      <c r="B6" s="5" t="s">
        <v>10</v>
      </c>
      <c r="C6" s="5" t="s">
        <v>251</v>
      </c>
      <c r="D6" s="5">
        <v>26914</v>
      </c>
      <c r="E6" s="5">
        <v>26464</v>
      </c>
      <c r="F6" s="5">
        <v>84</v>
      </c>
      <c r="G6" s="7">
        <f t="shared" si="0"/>
        <v>0.98328007728319833</v>
      </c>
    </row>
    <row r="7" spans="1:7" x14ac:dyDescent="0.3">
      <c r="A7" s="4" t="s">
        <v>5</v>
      </c>
      <c r="B7" s="5" t="s">
        <v>11</v>
      </c>
      <c r="C7" s="5" t="s">
        <v>251</v>
      </c>
      <c r="D7" s="5">
        <v>30497</v>
      </c>
      <c r="E7" s="5">
        <v>30280</v>
      </c>
      <c r="F7" s="5">
        <v>25</v>
      </c>
      <c r="G7" s="7">
        <f t="shared" si="0"/>
        <v>0.99288454602092013</v>
      </c>
    </row>
    <row r="8" spans="1:7" x14ac:dyDescent="0.3">
      <c r="A8" s="4" t="s">
        <v>5</v>
      </c>
      <c r="B8" s="5" t="s">
        <v>12</v>
      </c>
      <c r="C8" s="5" t="s">
        <v>251</v>
      </c>
      <c r="D8" s="5">
        <v>34272</v>
      </c>
      <c r="E8" s="5">
        <v>33822</v>
      </c>
      <c r="F8" s="5">
        <v>28</v>
      </c>
      <c r="G8" s="7">
        <f t="shared" si="0"/>
        <v>0.98686974789915971</v>
      </c>
    </row>
    <row r="9" spans="1:7" x14ac:dyDescent="0.3">
      <c r="A9" s="4" t="s">
        <v>5</v>
      </c>
      <c r="B9" s="5" t="s">
        <v>13</v>
      </c>
      <c r="C9" s="5" t="s">
        <v>251</v>
      </c>
      <c r="D9" s="5">
        <v>33940</v>
      </c>
      <c r="E9" s="5">
        <v>33513</v>
      </c>
      <c r="F9" s="5">
        <v>31</v>
      </c>
      <c r="G9" s="7">
        <f t="shared" si="0"/>
        <v>0.98741897466116679</v>
      </c>
    </row>
    <row r="10" spans="1:7" x14ac:dyDescent="0.3">
      <c r="A10" s="4" t="s">
        <v>5</v>
      </c>
      <c r="B10" s="5" t="s">
        <v>14</v>
      </c>
      <c r="C10" s="5" t="s">
        <v>251</v>
      </c>
      <c r="D10" s="5">
        <v>40546</v>
      </c>
      <c r="E10" s="5">
        <v>40027</v>
      </c>
      <c r="F10" s="5">
        <v>43</v>
      </c>
      <c r="G10" s="7">
        <f t="shared" si="0"/>
        <v>0.98719972377053222</v>
      </c>
    </row>
    <row r="11" spans="1:7" x14ac:dyDescent="0.3">
      <c r="A11" s="4" t="s">
        <v>5</v>
      </c>
      <c r="B11" s="5" t="s">
        <v>15</v>
      </c>
      <c r="C11" s="5" t="s">
        <v>252</v>
      </c>
      <c r="D11" s="5">
        <v>8945</v>
      </c>
      <c r="E11" s="5">
        <v>8904</v>
      </c>
      <c r="F11" s="5">
        <v>8</v>
      </c>
      <c r="G11" s="7">
        <f t="shared" si="0"/>
        <v>0.99541643376187816</v>
      </c>
    </row>
    <row r="12" spans="1:7" x14ac:dyDescent="0.3">
      <c r="A12" s="10" t="s">
        <v>16</v>
      </c>
      <c r="B12" s="5" t="s">
        <v>6</v>
      </c>
      <c r="C12" s="5" t="s">
        <v>251</v>
      </c>
      <c r="D12" s="5">
        <v>2802</v>
      </c>
      <c r="E12" s="5">
        <v>2742</v>
      </c>
      <c r="F12" s="5">
        <v>370</v>
      </c>
      <c r="G12" s="7">
        <f t="shared" si="0"/>
        <v>0.97858672376873657</v>
      </c>
    </row>
    <row r="13" spans="1:7" x14ac:dyDescent="0.3">
      <c r="A13" s="10" t="s">
        <v>16</v>
      </c>
      <c r="B13" s="5" t="s">
        <v>7</v>
      </c>
      <c r="C13" s="5" t="s">
        <v>251</v>
      </c>
      <c r="D13" s="5">
        <v>1831</v>
      </c>
      <c r="E13" s="5">
        <v>1787</v>
      </c>
      <c r="F13" s="5">
        <v>114</v>
      </c>
      <c r="G13" s="7">
        <f t="shared" si="0"/>
        <v>0.97596941561987982</v>
      </c>
    </row>
    <row r="14" spans="1:7" x14ac:dyDescent="0.3">
      <c r="A14" s="10" t="s">
        <v>16</v>
      </c>
      <c r="B14" s="5" t="s">
        <v>8</v>
      </c>
      <c r="C14" s="5" t="s">
        <v>251</v>
      </c>
      <c r="D14" s="5">
        <v>2531</v>
      </c>
      <c r="E14" s="5">
        <v>2434</v>
      </c>
      <c r="F14" s="5">
        <v>5</v>
      </c>
      <c r="G14" s="7">
        <f t="shared" si="0"/>
        <v>0.96167522718293164</v>
      </c>
    </row>
    <row r="15" spans="1:7" x14ac:dyDescent="0.3">
      <c r="A15" s="10" t="s">
        <v>16</v>
      </c>
      <c r="B15" s="5" t="s">
        <v>9</v>
      </c>
      <c r="C15" s="5" t="s">
        <v>251</v>
      </c>
      <c r="D15" s="5">
        <v>1640</v>
      </c>
      <c r="E15" s="5">
        <v>1322</v>
      </c>
      <c r="F15" s="5">
        <v>14</v>
      </c>
      <c r="G15" s="7">
        <f t="shared" si="0"/>
        <v>0.80609756097560981</v>
      </c>
    </row>
    <row r="16" spans="1:7" x14ac:dyDescent="0.3">
      <c r="A16" s="10" t="s">
        <v>16</v>
      </c>
      <c r="B16" s="5" t="s">
        <v>10</v>
      </c>
      <c r="C16" s="5" t="s">
        <v>251</v>
      </c>
      <c r="D16" s="5">
        <v>2905</v>
      </c>
      <c r="E16" s="5">
        <v>2858</v>
      </c>
      <c r="F16" s="5">
        <v>89</v>
      </c>
      <c r="G16" s="7">
        <f t="shared" si="0"/>
        <v>0.98382099827882963</v>
      </c>
    </row>
    <row r="17" spans="1:7" x14ac:dyDescent="0.3">
      <c r="A17" s="10" t="s">
        <v>16</v>
      </c>
      <c r="B17" s="5" t="s">
        <v>11</v>
      </c>
      <c r="C17" s="5" t="s">
        <v>251</v>
      </c>
      <c r="D17" s="5">
        <v>3590</v>
      </c>
      <c r="E17" s="5">
        <v>3526</v>
      </c>
      <c r="F17" s="5">
        <v>84</v>
      </c>
      <c r="G17" s="7">
        <f t="shared" si="0"/>
        <v>0.98217270194986073</v>
      </c>
    </row>
    <row r="18" spans="1:7" x14ac:dyDescent="0.3">
      <c r="A18" s="10" t="s">
        <v>16</v>
      </c>
      <c r="B18" s="5" t="s">
        <v>12</v>
      </c>
      <c r="C18" s="5" t="s">
        <v>251</v>
      </c>
      <c r="D18" s="5">
        <v>3610</v>
      </c>
      <c r="E18" s="5">
        <v>3575</v>
      </c>
      <c r="F18" s="5">
        <v>149</v>
      </c>
      <c r="G18" s="7">
        <f t="shared" si="0"/>
        <v>0.99030470914127422</v>
      </c>
    </row>
    <row r="19" spans="1:7" x14ac:dyDescent="0.3">
      <c r="A19" s="10" t="s">
        <v>16</v>
      </c>
      <c r="B19" s="5" t="s">
        <v>13</v>
      </c>
      <c r="C19" s="5" t="s">
        <v>251</v>
      </c>
      <c r="D19" s="5">
        <v>3386</v>
      </c>
      <c r="E19" s="5">
        <v>3374</v>
      </c>
      <c r="F19" s="5">
        <v>45</v>
      </c>
      <c r="G19" s="7">
        <f t="shared" si="0"/>
        <v>0.99645599527466033</v>
      </c>
    </row>
    <row r="20" spans="1:7" x14ac:dyDescent="0.3">
      <c r="A20" s="10" t="s">
        <v>16</v>
      </c>
      <c r="B20" s="5" t="s">
        <v>14</v>
      </c>
      <c r="C20" s="5" t="s">
        <v>251</v>
      </c>
      <c r="D20" s="5">
        <v>2895</v>
      </c>
      <c r="E20" s="5">
        <v>2824</v>
      </c>
      <c r="F20" s="5">
        <v>45</v>
      </c>
      <c r="G20" s="7">
        <f t="shared" si="0"/>
        <v>0.97547495682210705</v>
      </c>
    </row>
    <row r="21" spans="1:7" x14ac:dyDescent="0.3">
      <c r="A21" s="10" t="s">
        <v>16</v>
      </c>
      <c r="B21" s="5" t="s">
        <v>15</v>
      </c>
      <c r="C21" s="5" t="s">
        <v>252</v>
      </c>
      <c r="D21" s="5">
        <v>506</v>
      </c>
      <c r="E21" s="5">
        <v>489</v>
      </c>
      <c r="F21" s="5">
        <v>9</v>
      </c>
      <c r="G21" s="7">
        <f t="shared" si="0"/>
        <v>0.96640316205533594</v>
      </c>
    </row>
    <row r="22" spans="1:7" x14ac:dyDescent="0.3">
      <c r="A22" s="11" t="s">
        <v>17</v>
      </c>
      <c r="B22" s="5" t="s">
        <v>6</v>
      </c>
      <c r="C22" s="5" t="s">
        <v>251</v>
      </c>
      <c r="D22" s="5">
        <v>905</v>
      </c>
      <c r="E22" s="5">
        <v>905</v>
      </c>
      <c r="F22" s="5">
        <v>245</v>
      </c>
      <c r="G22" s="7">
        <f t="shared" si="0"/>
        <v>1</v>
      </c>
    </row>
    <row r="23" spans="1:7" x14ac:dyDescent="0.3">
      <c r="A23" s="11" t="s">
        <v>17</v>
      </c>
      <c r="B23" s="5" t="s">
        <v>7</v>
      </c>
      <c r="C23" s="5" t="s">
        <v>251</v>
      </c>
      <c r="D23" s="5">
        <v>1225</v>
      </c>
      <c r="E23" s="5">
        <v>1221</v>
      </c>
      <c r="F23" s="5">
        <v>453</v>
      </c>
      <c r="G23" s="7">
        <f t="shared" si="0"/>
        <v>0.99673469387755098</v>
      </c>
    </row>
    <row r="24" spans="1:7" x14ac:dyDescent="0.3">
      <c r="A24" s="11" t="s">
        <v>17</v>
      </c>
      <c r="B24" s="5" t="s">
        <v>8</v>
      </c>
      <c r="C24" s="5" t="s">
        <v>251</v>
      </c>
      <c r="D24" s="5">
        <v>1535</v>
      </c>
      <c r="E24" s="5">
        <v>1528</v>
      </c>
      <c r="F24" s="5">
        <v>352</v>
      </c>
      <c r="G24" s="7">
        <f t="shared" si="0"/>
        <v>0.9954397394136808</v>
      </c>
    </row>
    <row r="25" spans="1:7" x14ac:dyDescent="0.3">
      <c r="A25" s="11" t="s">
        <v>17</v>
      </c>
      <c r="B25" s="5" t="s">
        <v>9</v>
      </c>
      <c r="C25" s="5" t="s">
        <v>251</v>
      </c>
      <c r="D25" s="5">
        <v>932</v>
      </c>
      <c r="E25" s="5">
        <v>870</v>
      </c>
      <c r="F25" s="5">
        <v>118</v>
      </c>
      <c r="G25" s="7">
        <f t="shared" si="0"/>
        <v>0.9334763948497854</v>
      </c>
    </row>
    <row r="26" spans="1:7" x14ac:dyDescent="0.3">
      <c r="A26" s="11" t="s">
        <v>17</v>
      </c>
      <c r="B26" s="5" t="s">
        <v>10</v>
      </c>
      <c r="C26" s="5" t="s">
        <v>251</v>
      </c>
      <c r="D26" s="5">
        <v>1347</v>
      </c>
      <c r="E26" s="5">
        <v>1344</v>
      </c>
      <c r="F26" s="5">
        <v>218</v>
      </c>
      <c r="G26" s="7">
        <f t="shared" si="0"/>
        <v>0.99777282850779514</v>
      </c>
    </row>
    <row r="27" spans="1:7" x14ac:dyDescent="0.3">
      <c r="A27" s="11" t="s">
        <v>17</v>
      </c>
      <c r="B27" s="5" t="s">
        <v>11</v>
      </c>
      <c r="C27" s="5" t="s">
        <v>251</v>
      </c>
      <c r="D27" s="5">
        <v>1640</v>
      </c>
      <c r="E27" s="5">
        <v>1636</v>
      </c>
      <c r="F27" s="5">
        <v>230</v>
      </c>
      <c r="G27" s="7">
        <f t="shared" si="0"/>
        <v>0.9975609756097561</v>
      </c>
    </row>
    <row r="28" spans="1:7" x14ac:dyDescent="0.3">
      <c r="A28" s="11" t="s">
        <v>17</v>
      </c>
      <c r="B28" s="5" t="s">
        <v>12</v>
      </c>
      <c r="C28" s="5" t="s">
        <v>251</v>
      </c>
      <c r="D28" s="5">
        <v>1813</v>
      </c>
      <c r="E28" s="5">
        <v>1806</v>
      </c>
      <c r="F28" s="5">
        <v>306</v>
      </c>
      <c r="G28" s="7">
        <f t="shared" si="0"/>
        <v>0.99613899613899615</v>
      </c>
    </row>
    <row r="29" spans="1:7" x14ac:dyDescent="0.3">
      <c r="A29" s="11" t="s">
        <v>17</v>
      </c>
      <c r="B29" s="5" t="s">
        <v>13</v>
      </c>
      <c r="C29" s="5" t="s">
        <v>251</v>
      </c>
      <c r="D29" s="5">
        <v>2228</v>
      </c>
      <c r="E29" s="5">
        <v>2219</v>
      </c>
      <c r="F29" s="5">
        <v>309</v>
      </c>
      <c r="G29" s="7">
        <f t="shared" si="0"/>
        <v>0.99596050269299818</v>
      </c>
    </row>
    <row r="30" spans="1:7" x14ac:dyDescent="0.3">
      <c r="A30" s="11" t="s">
        <v>17</v>
      </c>
      <c r="B30" s="5" t="s">
        <v>14</v>
      </c>
      <c r="C30" s="5" t="s">
        <v>251</v>
      </c>
      <c r="D30" s="5">
        <v>2904</v>
      </c>
      <c r="E30" s="5">
        <v>2883</v>
      </c>
      <c r="F30" s="5">
        <v>491</v>
      </c>
      <c r="G30" s="7">
        <f t="shared" si="0"/>
        <v>0.99276859504132231</v>
      </c>
    </row>
    <row r="31" spans="1:7" x14ac:dyDescent="0.3">
      <c r="A31" s="11" t="s">
        <v>17</v>
      </c>
      <c r="B31" s="5" t="s">
        <v>15</v>
      </c>
      <c r="C31" s="5" t="s">
        <v>252</v>
      </c>
      <c r="D31" s="5">
        <v>646</v>
      </c>
      <c r="E31" s="5">
        <v>646</v>
      </c>
      <c r="F31" s="5">
        <v>124</v>
      </c>
      <c r="G31" s="7">
        <f t="shared" si="0"/>
        <v>1</v>
      </c>
    </row>
    <row r="32" spans="1:7" x14ac:dyDescent="0.3">
      <c r="A32" s="12" t="s">
        <v>18</v>
      </c>
      <c r="B32" s="5" t="s">
        <v>6</v>
      </c>
      <c r="C32" s="5" t="s">
        <v>251</v>
      </c>
      <c r="D32" s="5"/>
      <c r="E32" s="5"/>
      <c r="F32" s="5"/>
      <c r="G32" s="67"/>
    </row>
    <row r="33" spans="1:7" x14ac:dyDescent="0.3">
      <c r="A33" s="12" t="s">
        <v>18</v>
      </c>
      <c r="B33" s="5" t="s">
        <v>7</v>
      </c>
      <c r="C33" s="5" t="s">
        <v>251</v>
      </c>
      <c r="D33" s="5"/>
      <c r="E33" s="5"/>
      <c r="F33" s="5"/>
      <c r="G33" s="67"/>
    </row>
    <row r="34" spans="1:7" x14ac:dyDescent="0.3">
      <c r="A34" s="12" t="s">
        <v>18</v>
      </c>
      <c r="B34" s="5" t="s">
        <v>8</v>
      </c>
      <c r="C34" s="5" t="s">
        <v>251</v>
      </c>
      <c r="D34" s="5"/>
      <c r="E34" s="5"/>
      <c r="F34" s="5"/>
      <c r="G34" s="67"/>
    </row>
    <row r="35" spans="1:7" x14ac:dyDescent="0.3">
      <c r="A35" s="12" t="s">
        <v>18</v>
      </c>
      <c r="B35" s="5" t="s">
        <v>9</v>
      </c>
      <c r="C35" s="5" t="s">
        <v>251</v>
      </c>
      <c r="D35" s="5"/>
      <c r="E35" s="5"/>
      <c r="F35" s="5"/>
      <c r="G35" s="67"/>
    </row>
    <row r="36" spans="1:7" x14ac:dyDescent="0.3">
      <c r="A36" s="12" t="s">
        <v>18</v>
      </c>
      <c r="B36" s="5" t="s">
        <v>10</v>
      </c>
      <c r="C36" s="5" t="s">
        <v>251</v>
      </c>
      <c r="D36" s="5">
        <v>1774</v>
      </c>
      <c r="E36" s="5">
        <v>1758</v>
      </c>
      <c r="F36" s="5">
        <v>179</v>
      </c>
      <c r="G36" s="7">
        <f t="shared" ref="G36:G41" si="1">IF(D36&gt;0,E36/D36,"")</f>
        <v>0.99098083427282979</v>
      </c>
    </row>
    <row r="37" spans="1:7" x14ac:dyDescent="0.3">
      <c r="A37" s="12" t="s">
        <v>18</v>
      </c>
      <c r="B37" s="5" t="s">
        <v>11</v>
      </c>
      <c r="C37" s="5" t="s">
        <v>251</v>
      </c>
      <c r="D37" s="5">
        <v>1988</v>
      </c>
      <c r="E37" s="5">
        <v>1981</v>
      </c>
      <c r="F37" s="5">
        <v>19</v>
      </c>
      <c r="G37" s="7">
        <f t="shared" si="1"/>
        <v>0.99647887323943662</v>
      </c>
    </row>
    <row r="38" spans="1:7" x14ac:dyDescent="0.3">
      <c r="A38" s="12" t="s">
        <v>18</v>
      </c>
      <c r="B38" s="5" t="s">
        <v>12</v>
      </c>
      <c r="C38" s="5" t="s">
        <v>251</v>
      </c>
      <c r="D38" s="5">
        <v>2030</v>
      </c>
      <c r="E38" s="5">
        <v>2029</v>
      </c>
      <c r="F38" s="5">
        <v>24</v>
      </c>
      <c r="G38" s="7">
        <f t="shared" si="1"/>
        <v>0.99950738916256154</v>
      </c>
    </row>
    <row r="39" spans="1:7" x14ac:dyDescent="0.3">
      <c r="A39" s="12" t="s">
        <v>18</v>
      </c>
      <c r="B39" s="5" t="s">
        <v>13</v>
      </c>
      <c r="C39" s="5" t="s">
        <v>251</v>
      </c>
      <c r="D39" s="5">
        <v>2505</v>
      </c>
      <c r="E39" s="5">
        <v>2497</v>
      </c>
      <c r="F39" s="5">
        <v>162</v>
      </c>
      <c r="G39" s="7">
        <f t="shared" si="1"/>
        <v>0.99680638722554893</v>
      </c>
    </row>
    <row r="40" spans="1:7" x14ac:dyDescent="0.3">
      <c r="A40" s="12" t="s">
        <v>18</v>
      </c>
      <c r="B40" s="5" t="s">
        <v>14</v>
      </c>
      <c r="C40" s="5" t="s">
        <v>251</v>
      </c>
      <c r="D40" s="5">
        <v>2424</v>
      </c>
      <c r="E40" s="5">
        <v>2421</v>
      </c>
      <c r="F40" s="5">
        <v>63</v>
      </c>
      <c r="G40" s="7">
        <f t="shared" si="1"/>
        <v>0.99876237623762376</v>
      </c>
    </row>
    <row r="41" spans="1:7" x14ac:dyDescent="0.3">
      <c r="A41" s="12" t="s">
        <v>18</v>
      </c>
      <c r="B41" s="5" t="s">
        <v>15</v>
      </c>
      <c r="C41" s="5" t="s">
        <v>252</v>
      </c>
      <c r="D41" s="5">
        <v>413</v>
      </c>
      <c r="E41" s="5">
        <v>413</v>
      </c>
      <c r="F41" s="5">
        <v>10</v>
      </c>
      <c r="G41" s="7">
        <f t="shared" si="1"/>
        <v>1</v>
      </c>
    </row>
    <row r="42" spans="1:7" x14ac:dyDescent="0.3">
      <c r="A42" s="13" t="s">
        <v>19</v>
      </c>
      <c r="B42" s="5" t="s">
        <v>6</v>
      </c>
      <c r="C42" s="5" t="s">
        <v>251</v>
      </c>
      <c r="D42" s="5"/>
      <c r="E42" s="5"/>
      <c r="F42" s="5"/>
      <c r="G42" s="67"/>
    </row>
    <row r="43" spans="1:7" x14ac:dyDescent="0.3">
      <c r="A43" s="13" t="s">
        <v>19</v>
      </c>
      <c r="B43" s="5" t="s">
        <v>7</v>
      </c>
      <c r="C43" s="5" t="s">
        <v>251</v>
      </c>
      <c r="D43" s="5"/>
      <c r="E43" s="5"/>
      <c r="F43" s="5"/>
      <c r="G43" s="67"/>
    </row>
    <row r="44" spans="1:7" x14ac:dyDescent="0.3">
      <c r="A44" s="13" t="s">
        <v>19</v>
      </c>
      <c r="B44" s="5" t="s">
        <v>8</v>
      </c>
      <c r="C44" s="5" t="s">
        <v>251</v>
      </c>
      <c r="D44" s="5"/>
      <c r="E44" s="5"/>
      <c r="F44" s="5"/>
      <c r="G44" s="67"/>
    </row>
    <row r="45" spans="1:7" x14ac:dyDescent="0.3">
      <c r="A45" s="13" t="s">
        <v>19</v>
      </c>
      <c r="B45" s="5" t="s">
        <v>9</v>
      </c>
      <c r="C45" s="5" t="s">
        <v>251</v>
      </c>
      <c r="D45" s="5">
        <v>565</v>
      </c>
      <c r="E45" s="5">
        <v>554</v>
      </c>
      <c r="F45" s="5">
        <v>39</v>
      </c>
      <c r="G45" s="7">
        <f t="shared" ref="G45:G81" si="2">IF(D45&gt;0,E45/D45,"")</f>
        <v>0.98053097345132745</v>
      </c>
    </row>
    <row r="46" spans="1:7" x14ac:dyDescent="0.3">
      <c r="A46" s="13" t="s">
        <v>19</v>
      </c>
      <c r="B46" s="5" t="s">
        <v>10</v>
      </c>
      <c r="C46" s="5" t="s">
        <v>251</v>
      </c>
      <c r="D46" s="5">
        <v>2522</v>
      </c>
      <c r="E46" s="5">
        <v>2502</v>
      </c>
      <c r="F46" s="5">
        <v>108</v>
      </c>
      <c r="G46" s="7">
        <f t="shared" si="2"/>
        <v>0.9920697858842189</v>
      </c>
    </row>
    <row r="47" spans="1:7" x14ac:dyDescent="0.3">
      <c r="A47" s="13" t="s">
        <v>19</v>
      </c>
      <c r="B47" s="5" t="s">
        <v>11</v>
      </c>
      <c r="C47" s="5" t="s">
        <v>251</v>
      </c>
      <c r="D47" s="5">
        <v>3220</v>
      </c>
      <c r="E47" s="5">
        <v>3171</v>
      </c>
      <c r="F47" s="5">
        <v>173</v>
      </c>
      <c r="G47" s="7">
        <f t="shared" si="2"/>
        <v>0.98478260869565215</v>
      </c>
    </row>
    <row r="48" spans="1:7" x14ac:dyDescent="0.3">
      <c r="A48" s="13" t="s">
        <v>19</v>
      </c>
      <c r="B48" s="5" t="s">
        <v>12</v>
      </c>
      <c r="C48" s="5" t="s">
        <v>251</v>
      </c>
      <c r="D48" s="5">
        <v>4073</v>
      </c>
      <c r="E48" s="5">
        <v>4033</v>
      </c>
      <c r="F48" s="5">
        <v>53</v>
      </c>
      <c r="G48" s="7">
        <f t="shared" si="2"/>
        <v>0.99017922906948197</v>
      </c>
    </row>
    <row r="49" spans="1:7" x14ac:dyDescent="0.3">
      <c r="A49" s="13" t="s">
        <v>19</v>
      </c>
      <c r="B49" s="5" t="s">
        <v>13</v>
      </c>
      <c r="C49" s="5" t="s">
        <v>251</v>
      </c>
      <c r="D49" s="5">
        <v>5763</v>
      </c>
      <c r="E49" s="5">
        <v>5750</v>
      </c>
      <c r="F49" s="5">
        <v>59</v>
      </c>
      <c r="G49" s="7">
        <f t="shared" si="2"/>
        <v>0.99774423043553706</v>
      </c>
    </row>
    <row r="50" spans="1:7" x14ac:dyDescent="0.3">
      <c r="A50" s="13" t="s">
        <v>19</v>
      </c>
      <c r="B50" s="5" t="s">
        <v>14</v>
      </c>
      <c r="C50" s="5" t="s">
        <v>251</v>
      </c>
      <c r="D50" s="5">
        <v>6702</v>
      </c>
      <c r="E50" s="5">
        <v>6677</v>
      </c>
      <c r="F50" s="5">
        <v>263</v>
      </c>
      <c r="G50" s="7">
        <f t="shared" si="2"/>
        <v>0.99626977021784546</v>
      </c>
    </row>
    <row r="51" spans="1:7" x14ac:dyDescent="0.3">
      <c r="A51" s="13" t="s">
        <v>19</v>
      </c>
      <c r="B51" s="5" t="s">
        <v>15</v>
      </c>
      <c r="C51" s="5" t="s">
        <v>252</v>
      </c>
      <c r="D51" s="5">
        <v>1019</v>
      </c>
      <c r="E51" s="5">
        <v>1018</v>
      </c>
      <c r="F51" s="5">
        <v>12</v>
      </c>
      <c r="G51" s="7">
        <f t="shared" si="2"/>
        <v>0.99901864573110888</v>
      </c>
    </row>
    <row r="52" spans="1:7" x14ac:dyDescent="0.3">
      <c r="A52" s="14" t="s">
        <v>20</v>
      </c>
      <c r="B52" s="5" t="s">
        <v>6</v>
      </c>
      <c r="C52" s="5" t="s">
        <v>251</v>
      </c>
      <c r="D52" s="5">
        <v>455</v>
      </c>
      <c r="E52" s="5">
        <v>453</v>
      </c>
      <c r="F52" s="5">
        <v>101</v>
      </c>
      <c r="G52" s="7">
        <f t="shared" si="2"/>
        <v>0.99560439560439562</v>
      </c>
    </row>
    <row r="53" spans="1:7" x14ac:dyDescent="0.3">
      <c r="A53" s="14" t="s">
        <v>20</v>
      </c>
      <c r="B53" s="5" t="s">
        <v>7</v>
      </c>
      <c r="C53" s="5" t="s">
        <v>251</v>
      </c>
      <c r="D53" s="5">
        <v>727</v>
      </c>
      <c r="E53" s="5">
        <v>725</v>
      </c>
      <c r="F53" s="5">
        <v>20</v>
      </c>
      <c r="G53" s="7">
        <f t="shared" si="2"/>
        <v>0.99724896836313615</v>
      </c>
    </row>
    <row r="54" spans="1:7" x14ac:dyDescent="0.3">
      <c r="A54" s="14" t="s">
        <v>20</v>
      </c>
      <c r="B54" s="5" t="s">
        <v>8</v>
      </c>
      <c r="C54" s="5" t="s">
        <v>251</v>
      </c>
      <c r="D54" s="5">
        <v>1204</v>
      </c>
      <c r="E54" s="5">
        <v>1180</v>
      </c>
      <c r="F54" s="5">
        <v>3</v>
      </c>
      <c r="G54" s="7">
        <f t="shared" si="2"/>
        <v>0.98006644518272423</v>
      </c>
    </row>
    <row r="55" spans="1:7" x14ac:dyDescent="0.3">
      <c r="A55" s="14" t="s">
        <v>20</v>
      </c>
      <c r="B55" s="5" t="s">
        <v>9</v>
      </c>
      <c r="C55" s="5" t="s">
        <v>251</v>
      </c>
      <c r="D55" s="5">
        <v>696</v>
      </c>
      <c r="E55" s="5">
        <v>572</v>
      </c>
      <c r="F55" s="5">
        <v>19</v>
      </c>
      <c r="G55" s="7">
        <f t="shared" si="2"/>
        <v>0.82183908045977017</v>
      </c>
    </row>
    <row r="56" spans="1:7" x14ac:dyDescent="0.3">
      <c r="A56" s="14" t="s">
        <v>20</v>
      </c>
      <c r="B56" s="5" t="s">
        <v>10</v>
      </c>
      <c r="C56" s="5" t="s">
        <v>251</v>
      </c>
      <c r="D56" s="5">
        <v>1246</v>
      </c>
      <c r="E56" s="5">
        <v>1238</v>
      </c>
      <c r="F56" s="5">
        <v>86</v>
      </c>
      <c r="G56" s="7">
        <f t="shared" si="2"/>
        <v>0.9935794542536116</v>
      </c>
    </row>
    <row r="57" spans="1:7" x14ac:dyDescent="0.3">
      <c r="A57" s="14" t="s">
        <v>20</v>
      </c>
      <c r="B57" s="5" t="s">
        <v>11</v>
      </c>
      <c r="C57" s="5" t="s">
        <v>251</v>
      </c>
      <c r="D57" s="5">
        <v>1443</v>
      </c>
      <c r="E57" s="5">
        <v>1441</v>
      </c>
      <c r="F57" s="5">
        <v>78</v>
      </c>
      <c r="G57" s="7">
        <f t="shared" si="2"/>
        <v>0.99861399861399858</v>
      </c>
    </row>
    <row r="58" spans="1:7" x14ac:dyDescent="0.3">
      <c r="A58" s="14" t="s">
        <v>20</v>
      </c>
      <c r="B58" s="5" t="s">
        <v>12</v>
      </c>
      <c r="C58" s="5" t="s">
        <v>251</v>
      </c>
      <c r="D58" s="5">
        <v>1616</v>
      </c>
      <c r="E58" s="5">
        <v>1610</v>
      </c>
      <c r="F58" s="5">
        <v>139</v>
      </c>
      <c r="G58" s="7">
        <f t="shared" si="2"/>
        <v>0.99628712871287128</v>
      </c>
    </row>
    <row r="59" spans="1:7" x14ac:dyDescent="0.3">
      <c r="A59" s="14" t="s">
        <v>20</v>
      </c>
      <c r="B59" s="5" t="s">
        <v>13</v>
      </c>
      <c r="C59" s="5" t="s">
        <v>251</v>
      </c>
      <c r="D59" s="5">
        <v>2056</v>
      </c>
      <c r="E59" s="5">
        <v>2056</v>
      </c>
      <c r="F59" s="5">
        <v>87</v>
      </c>
      <c r="G59" s="7">
        <f t="shared" si="2"/>
        <v>1</v>
      </c>
    </row>
    <row r="60" spans="1:7" x14ac:dyDescent="0.3">
      <c r="A60" s="14" t="s">
        <v>20</v>
      </c>
      <c r="B60" s="5" t="s">
        <v>14</v>
      </c>
      <c r="C60" s="5" t="s">
        <v>251</v>
      </c>
      <c r="D60" s="5">
        <v>2866</v>
      </c>
      <c r="E60" s="5">
        <v>2863</v>
      </c>
      <c r="F60" s="5">
        <v>267</v>
      </c>
      <c r="G60" s="7">
        <f t="shared" si="2"/>
        <v>0.99895324494068383</v>
      </c>
    </row>
    <row r="61" spans="1:7" x14ac:dyDescent="0.3">
      <c r="A61" s="14" t="s">
        <v>20</v>
      </c>
      <c r="B61" s="5" t="s">
        <v>15</v>
      </c>
      <c r="C61" s="5" t="s">
        <v>252</v>
      </c>
      <c r="D61" s="5">
        <v>699</v>
      </c>
      <c r="E61" s="5">
        <v>699</v>
      </c>
      <c r="F61" s="5">
        <v>48</v>
      </c>
      <c r="G61" s="7">
        <f t="shared" si="2"/>
        <v>1</v>
      </c>
    </row>
    <row r="62" spans="1:7" x14ac:dyDescent="0.3">
      <c r="A62" s="15" t="s">
        <v>21</v>
      </c>
      <c r="B62" s="5" t="s">
        <v>6</v>
      </c>
      <c r="C62" s="5" t="s">
        <v>251</v>
      </c>
      <c r="D62" s="5">
        <v>877</v>
      </c>
      <c r="E62" s="5">
        <v>835</v>
      </c>
      <c r="F62" s="5">
        <v>243</v>
      </c>
      <c r="G62" s="7">
        <f t="shared" si="2"/>
        <v>0.95210946408209807</v>
      </c>
    </row>
    <row r="63" spans="1:7" x14ac:dyDescent="0.3">
      <c r="A63" s="15" t="s">
        <v>21</v>
      </c>
      <c r="B63" s="5" t="s">
        <v>7</v>
      </c>
      <c r="C63" s="5" t="s">
        <v>251</v>
      </c>
      <c r="D63" s="5">
        <v>861</v>
      </c>
      <c r="E63" s="5">
        <v>841</v>
      </c>
      <c r="F63" s="5">
        <v>14</v>
      </c>
      <c r="G63" s="7">
        <f t="shared" si="2"/>
        <v>0.97677119628339137</v>
      </c>
    </row>
    <row r="64" spans="1:7" x14ac:dyDescent="0.3">
      <c r="A64" s="15" t="s">
        <v>21</v>
      </c>
      <c r="B64" s="5" t="s">
        <v>8</v>
      </c>
      <c r="C64" s="5" t="s">
        <v>251</v>
      </c>
      <c r="D64" s="5">
        <v>981</v>
      </c>
      <c r="E64" s="5">
        <v>906</v>
      </c>
      <c r="F64" s="5">
        <v>41</v>
      </c>
      <c r="G64" s="7">
        <f t="shared" si="2"/>
        <v>0.92354740061162077</v>
      </c>
    </row>
    <row r="65" spans="1:7" x14ac:dyDescent="0.3">
      <c r="A65" s="15" t="s">
        <v>21</v>
      </c>
      <c r="B65" s="5" t="s">
        <v>9</v>
      </c>
      <c r="C65" s="5" t="s">
        <v>251</v>
      </c>
      <c r="D65" s="5">
        <v>553</v>
      </c>
      <c r="E65" s="5">
        <v>398</v>
      </c>
      <c r="F65" s="5">
        <v>41</v>
      </c>
      <c r="G65" s="7">
        <f t="shared" si="2"/>
        <v>0.71971066907775771</v>
      </c>
    </row>
    <row r="66" spans="1:7" x14ac:dyDescent="0.3">
      <c r="A66" s="15" t="s">
        <v>21</v>
      </c>
      <c r="B66" s="5" t="s">
        <v>10</v>
      </c>
      <c r="C66" s="5" t="s">
        <v>251</v>
      </c>
      <c r="D66" s="5">
        <v>924</v>
      </c>
      <c r="E66" s="5">
        <v>901</v>
      </c>
      <c r="F66" s="5">
        <v>64</v>
      </c>
      <c r="G66" s="7">
        <f t="shared" si="2"/>
        <v>0.97510822510822515</v>
      </c>
    </row>
    <row r="67" spans="1:7" x14ac:dyDescent="0.3">
      <c r="A67" s="15" t="s">
        <v>21</v>
      </c>
      <c r="B67" s="5" t="s">
        <v>11</v>
      </c>
      <c r="C67" s="5" t="s">
        <v>251</v>
      </c>
      <c r="D67" s="5">
        <v>1204</v>
      </c>
      <c r="E67" s="5">
        <v>1191</v>
      </c>
      <c r="F67" s="5">
        <v>139</v>
      </c>
      <c r="G67" s="7">
        <f t="shared" si="2"/>
        <v>0.98920265780730898</v>
      </c>
    </row>
    <row r="68" spans="1:7" x14ac:dyDescent="0.3">
      <c r="A68" s="15" t="s">
        <v>21</v>
      </c>
      <c r="B68" s="5" t="s">
        <v>12</v>
      </c>
      <c r="C68" s="5" t="s">
        <v>251</v>
      </c>
      <c r="D68" s="5">
        <v>1675</v>
      </c>
      <c r="E68" s="5">
        <v>1651</v>
      </c>
      <c r="F68" s="5">
        <v>256</v>
      </c>
      <c r="G68" s="7">
        <f t="shared" si="2"/>
        <v>0.98567164179104483</v>
      </c>
    </row>
    <row r="69" spans="1:7" x14ac:dyDescent="0.3">
      <c r="A69" s="15" t="s">
        <v>21</v>
      </c>
      <c r="B69" s="5" t="s">
        <v>13</v>
      </c>
      <c r="C69" s="5" t="s">
        <v>251</v>
      </c>
      <c r="D69" s="5">
        <v>2000</v>
      </c>
      <c r="E69" s="5">
        <v>1953</v>
      </c>
      <c r="F69" s="5">
        <v>331</v>
      </c>
      <c r="G69" s="7">
        <f t="shared" si="2"/>
        <v>0.97650000000000003</v>
      </c>
    </row>
    <row r="70" spans="1:7" x14ac:dyDescent="0.3">
      <c r="A70" s="15" t="s">
        <v>21</v>
      </c>
      <c r="B70" s="5" t="s">
        <v>14</v>
      </c>
      <c r="C70" s="5" t="s">
        <v>251</v>
      </c>
      <c r="D70" s="5">
        <v>1954</v>
      </c>
      <c r="E70" s="5">
        <v>1884</v>
      </c>
      <c r="F70" s="5">
        <v>283</v>
      </c>
      <c r="G70" s="7">
        <f t="shared" si="2"/>
        <v>0.96417604912998978</v>
      </c>
    </row>
    <row r="71" spans="1:7" x14ac:dyDescent="0.3">
      <c r="A71" s="15" t="s">
        <v>21</v>
      </c>
      <c r="B71" s="5" t="s">
        <v>15</v>
      </c>
      <c r="C71" s="5" t="s">
        <v>252</v>
      </c>
      <c r="D71" s="5">
        <v>319</v>
      </c>
      <c r="E71" s="5">
        <v>315</v>
      </c>
      <c r="F71" s="5">
        <v>51</v>
      </c>
      <c r="G71" s="7">
        <f t="shared" si="2"/>
        <v>0.98746081504702199</v>
      </c>
    </row>
    <row r="72" spans="1:7" x14ac:dyDescent="0.3">
      <c r="A72" s="16" t="s">
        <v>22</v>
      </c>
      <c r="B72" s="5" t="s">
        <v>6</v>
      </c>
      <c r="C72" s="5" t="s">
        <v>251</v>
      </c>
      <c r="D72" s="5">
        <v>491</v>
      </c>
      <c r="E72" s="5">
        <v>444</v>
      </c>
      <c r="F72" s="5">
        <v>181</v>
      </c>
      <c r="G72" s="7">
        <f t="shared" si="2"/>
        <v>0.90427698574338089</v>
      </c>
    </row>
    <row r="73" spans="1:7" x14ac:dyDescent="0.3">
      <c r="A73" s="16" t="s">
        <v>22</v>
      </c>
      <c r="B73" s="5" t="s">
        <v>7</v>
      </c>
      <c r="C73" s="5" t="s">
        <v>251</v>
      </c>
      <c r="D73" s="5">
        <v>365</v>
      </c>
      <c r="E73" s="5">
        <v>361</v>
      </c>
      <c r="F73" s="5">
        <v>71</v>
      </c>
      <c r="G73" s="7">
        <f t="shared" si="2"/>
        <v>0.989041095890411</v>
      </c>
    </row>
    <row r="74" spans="1:7" x14ac:dyDescent="0.3">
      <c r="A74" s="16" t="s">
        <v>22</v>
      </c>
      <c r="B74" s="5" t="s">
        <v>8</v>
      </c>
      <c r="C74" s="5" t="s">
        <v>251</v>
      </c>
      <c r="D74" s="5">
        <v>322</v>
      </c>
      <c r="E74" s="5">
        <v>302</v>
      </c>
      <c r="F74" s="5">
        <v>2</v>
      </c>
      <c r="G74" s="7">
        <f t="shared" si="2"/>
        <v>0.93788819875776397</v>
      </c>
    </row>
    <row r="75" spans="1:7" x14ac:dyDescent="0.3">
      <c r="A75" s="16" t="s">
        <v>22</v>
      </c>
      <c r="B75" s="5" t="s">
        <v>9</v>
      </c>
      <c r="C75" s="5" t="s">
        <v>251</v>
      </c>
      <c r="D75" s="5">
        <v>91</v>
      </c>
      <c r="E75" s="5">
        <v>83</v>
      </c>
      <c r="F75" s="5">
        <v>13</v>
      </c>
      <c r="G75" s="7">
        <f t="shared" si="2"/>
        <v>0.91208791208791207</v>
      </c>
    </row>
    <row r="76" spans="1:7" x14ac:dyDescent="0.3">
      <c r="A76" s="16" t="s">
        <v>22</v>
      </c>
      <c r="B76" s="5" t="s">
        <v>10</v>
      </c>
      <c r="C76" s="5" t="s">
        <v>251</v>
      </c>
      <c r="D76" s="5">
        <v>206</v>
      </c>
      <c r="E76" s="5">
        <v>206</v>
      </c>
      <c r="F76" s="5">
        <v>5</v>
      </c>
      <c r="G76" s="7">
        <f t="shared" si="2"/>
        <v>1</v>
      </c>
    </row>
    <row r="77" spans="1:7" x14ac:dyDescent="0.3">
      <c r="A77" s="16" t="s">
        <v>22</v>
      </c>
      <c r="B77" s="5" t="s">
        <v>11</v>
      </c>
      <c r="C77" s="5" t="s">
        <v>251</v>
      </c>
      <c r="D77" s="5">
        <v>269</v>
      </c>
      <c r="E77" s="5">
        <v>262</v>
      </c>
      <c r="F77" s="5">
        <v>4</v>
      </c>
      <c r="G77" s="7">
        <f t="shared" si="2"/>
        <v>0.97397769516728627</v>
      </c>
    </row>
    <row r="78" spans="1:7" x14ac:dyDescent="0.3">
      <c r="A78" s="16" t="s">
        <v>22</v>
      </c>
      <c r="B78" s="5" t="s">
        <v>12</v>
      </c>
      <c r="C78" s="5" t="s">
        <v>251</v>
      </c>
      <c r="D78" s="5">
        <v>330</v>
      </c>
      <c r="E78" s="5">
        <v>327</v>
      </c>
      <c r="F78" s="5">
        <v>70</v>
      </c>
      <c r="G78" s="7">
        <f t="shared" si="2"/>
        <v>0.99090909090909096</v>
      </c>
    </row>
    <row r="79" spans="1:7" x14ac:dyDescent="0.3">
      <c r="A79" s="16" t="s">
        <v>22</v>
      </c>
      <c r="B79" s="5" t="s">
        <v>13</v>
      </c>
      <c r="C79" s="5" t="s">
        <v>251</v>
      </c>
      <c r="D79" s="5">
        <v>460</v>
      </c>
      <c r="E79" s="5">
        <v>454</v>
      </c>
      <c r="F79" s="5">
        <v>79</v>
      </c>
      <c r="G79" s="7">
        <f t="shared" si="2"/>
        <v>0.9869565217391304</v>
      </c>
    </row>
    <row r="80" spans="1:7" x14ac:dyDescent="0.3">
      <c r="A80" s="16" t="s">
        <v>22</v>
      </c>
      <c r="B80" s="5" t="s">
        <v>14</v>
      </c>
      <c r="C80" s="5" t="s">
        <v>251</v>
      </c>
      <c r="D80" s="5">
        <v>536</v>
      </c>
      <c r="E80" s="5">
        <v>522</v>
      </c>
      <c r="F80" s="5">
        <v>115</v>
      </c>
      <c r="G80" s="7">
        <f t="shared" si="2"/>
        <v>0.97388059701492535</v>
      </c>
    </row>
    <row r="81" spans="1:7" x14ac:dyDescent="0.3">
      <c r="A81" s="16" t="s">
        <v>22</v>
      </c>
      <c r="B81" s="5" t="s">
        <v>15</v>
      </c>
      <c r="C81" s="5" t="s">
        <v>252</v>
      </c>
      <c r="D81" s="5">
        <v>129</v>
      </c>
      <c r="E81" s="5">
        <v>112</v>
      </c>
      <c r="F81" s="5">
        <v>17</v>
      </c>
      <c r="G81" s="7">
        <f t="shared" si="2"/>
        <v>0.86821705426356588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4660C-3AEA-4B79-9EF6-9C2AE6F554A0}">
  <sheetPr>
    <tabColor theme="7"/>
  </sheetPr>
  <dimension ref="A1:L27"/>
  <sheetViews>
    <sheetView zoomScaleNormal="100" workbookViewId="0">
      <selection activeCell="N24" sqref="N24"/>
    </sheetView>
  </sheetViews>
  <sheetFormatPr baseColWidth="10" defaultColWidth="8.6640625" defaultRowHeight="14.4" x14ac:dyDescent="0.3"/>
  <cols>
    <col min="1" max="1" width="18" style="2" customWidth="1"/>
    <col min="2" max="2" width="14" style="2" customWidth="1"/>
    <col min="3" max="12" width="11" style="2" customWidth="1"/>
    <col min="13" max="16384" width="8.6640625" style="2"/>
  </cols>
  <sheetData>
    <row r="1" spans="1:12" ht="21.75" customHeight="1" x14ac:dyDescent="0.3">
      <c r="A1" s="88" t="s">
        <v>253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</row>
    <row r="2" spans="1:12" ht="15" customHeight="1" x14ac:dyDescent="0.3">
      <c r="A2" s="89" t="s">
        <v>62</v>
      </c>
      <c r="B2" s="89" t="s">
        <v>230</v>
      </c>
      <c r="C2" s="90" t="s">
        <v>6</v>
      </c>
      <c r="D2" s="90"/>
      <c r="E2" s="90"/>
      <c r="F2" s="90"/>
      <c r="G2" s="90"/>
      <c r="H2" s="90"/>
      <c r="I2" s="90"/>
      <c r="J2" s="90"/>
      <c r="K2" s="90"/>
      <c r="L2" s="90"/>
    </row>
    <row r="3" spans="1:12" x14ac:dyDescent="0.3">
      <c r="A3" s="89"/>
      <c r="B3" s="89"/>
      <c r="C3" s="49"/>
      <c r="D3" s="49"/>
      <c r="E3" s="49"/>
      <c r="F3" s="49"/>
      <c r="G3" s="49"/>
      <c r="H3" s="49"/>
      <c r="I3" s="49"/>
      <c r="J3" s="49"/>
      <c r="K3" s="49"/>
      <c r="L3" s="49"/>
    </row>
    <row r="4" spans="1:12" x14ac:dyDescent="0.3">
      <c r="A4" s="4" t="s">
        <v>5</v>
      </c>
      <c r="B4" s="68" t="s">
        <v>254</v>
      </c>
      <c r="C4" s="6">
        <v>16159</v>
      </c>
      <c r="D4" s="6">
        <v>19221</v>
      </c>
      <c r="E4" s="6">
        <v>24303</v>
      </c>
      <c r="F4" s="6">
        <v>15554</v>
      </c>
      <c r="G4" s="6">
        <v>26914</v>
      </c>
      <c r="H4" s="6">
        <v>30497</v>
      </c>
      <c r="I4" s="6">
        <v>34272</v>
      </c>
      <c r="J4" s="6">
        <v>33940</v>
      </c>
      <c r="K4" s="6">
        <v>40546</v>
      </c>
      <c r="L4" s="6">
        <v>8945</v>
      </c>
    </row>
    <row r="5" spans="1:12" x14ac:dyDescent="0.3">
      <c r="A5" s="4"/>
      <c r="B5" s="68" t="s">
        <v>255</v>
      </c>
      <c r="C5" s="6">
        <v>14326</v>
      </c>
      <c r="D5" s="6">
        <v>18989</v>
      </c>
      <c r="E5" s="6">
        <v>23560</v>
      </c>
      <c r="F5" s="6">
        <v>11704</v>
      </c>
      <c r="G5" s="6">
        <v>26464</v>
      </c>
      <c r="H5" s="6">
        <v>30280</v>
      </c>
      <c r="I5" s="6">
        <v>33822</v>
      </c>
      <c r="J5" s="6">
        <v>33513</v>
      </c>
      <c r="K5" s="6">
        <v>40027</v>
      </c>
      <c r="L5" s="6">
        <v>8904</v>
      </c>
    </row>
    <row r="6" spans="1:12" x14ac:dyDescent="0.3">
      <c r="A6" s="4"/>
      <c r="B6" s="52" t="s">
        <v>256</v>
      </c>
      <c r="C6" s="69">
        <v>4470</v>
      </c>
      <c r="D6" s="69">
        <v>2517</v>
      </c>
      <c r="E6" s="69">
        <v>80</v>
      </c>
      <c r="F6" s="69">
        <v>229</v>
      </c>
      <c r="G6" s="69">
        <v>84</v>
      </c>
      <c r="H6" s="69">
        <v>25</v>
      </c>
      <c r="I6" s="69">
        <v>28</v>
      </c>
      <c r="J6" s="69">
        <v>31</v>
      </c>
      <c r="K6" s="69">
        <v>43</v>
      </c>
      <c r="L6" s="69">
        <v>8</v>
      </c>
    </row>
    <row r="7" spans="1:12" x14ac:dyDescent="0.3">
      <c r="A7" s="10" t="s">
        <v>16</v>
      </c>
      <c r="B7" s="68" t="s">
        <v>254</v>
      </c>
      <c r="C7" s="6">
        <v>2802</v>
      </c>
      <c r="D7" s="6">
        <v>1831</v>
      </c>
      <c r="E7" s="6">
        <v>2531</v>
      </c>
      <c r="F7" s="6">
        <v>1640</v>
      </c>
      <c r="G7" s="6">
        <v>2905</v>
      </c>
      <c r="H7" s="6">
        <v>3590</v>
      </c>
      <c r="I7" s="6">
        <v>3610</v>
      </c>
      <c r="J7" s="6">
        <v>3386</v>
      </c>
      <c r="K7" s="6">
        <v>2895</v>
      </c>
      <c r="L7" s="6">
        <v>506</v>
      </c>
    </row>
    <row r="8" spans="1:12" x14ac:dyDescent="0.3">
      <c r="A8" s="10"/>
      <c r="B8" s="68" t="s">
        <v>255</v>
      </c>
      <c r="C8" s="6">
        <v>2742</v>
      </c>
      <c r="D8" s="6">
        <v>1787</v>
      </c>
      <c r="E8" s="6">
        <v>2434</v>
      </c>
      <c r="F8" s="6">
        <v>1322</v>
      </c>
      <c r="G8" s="6">
        <v>2858</v>
      </c>
      <c r="H8" s="6">
        <v>3526</v>
      </c>
      <c r="I8" s="6">
        <v>3575</v>
      </c>
      <c r="J8" s="6">
        <v>3374</v>
      </c>
      <c r="K8" s="6">
        <v>2824</v>
      </c>
      <c r="L8" s="6">
        <v>489</v>
      </c>
    </row>
    <row r="9" spans="1:12" x14ac:dyDescent="0.3">
      <c r="A9" s="10"/>
      <c r="B9" s="52" t="s">
        <v>256</v>
      </c>
      <c r="C9" s="69">
        <v>370</v>
      </c>
      <c r="D9" s="69">
        <v>114</v>
      </c>
      <c r="E9" s="69">
        <v>5</v>
      </c>
      <c r="F9" s="69">
        <v>14</v>
      </c>
      <c r="G9" s="69">
        <v>89</v>
      </c>
      <c r="H9" s="69">
        <v>84</v>
      </c>
      <c r="I9" s="69">
        <v>149</v>
      </c>
      <c r="J9" s="69">
        <v>45</v>
      </c>
      <c r="K9" s="69">
        <v>45</v>
      </c>
      <c r="L9" s="69">
        <v>9</v>
      </c>
    </row>
    <row r="10" spans="1:12" x14ac:dyDescent="0.3">
      <c r="A10" s="11" t="s">
        <v>17</v>
      </c>
      <c r="B10" s="68" t="s">
        <v>254</v>
      </c>
      <c r="C10" s="6">
        <v>905</v>
      </c>
      <c r="D10" s="6">
        <v>1225</v>
      </c>
      <c r="E10" s="6">
        <v>1535</v>
      </c>
      <c r="F10" s="6">
        <v>932</v>
      </c>
      <c r="G10" s="6">
        <v>1347</v>
      </c>
      <c r="H10" s="6">
        <v>1640</v>
      </c>
      <c r="I10" s="6">
        <v>1813</v>
      </c>
      <c r="J10" s="6">
        <v>2228</v>
      </c>
      <c r="K10" s="6">
        <v>2904</v>
      </c>
      <c r="L10" s="6">
        <v>646</v>
      </c>
    </row>
    <row r="11" spans="1:12" x14ac:dyDescent="0.3">
      <c r="A11" s="11"/>
      <c r="B11" s="68" t="s">
        <v>255</v>
      </c>
      <c r="C11" s="6">
        <v>905</v>
      </c>
      <c r="D11" s="6">
        <v>1221</v>
      </c>
      <c r="E11" s="6">
        <v>1528</v>
      </c>
      <c r="F11" s="6">
        <v>870</v>
      </c>
      <c r="G11" s="6">
        <v>1344</v>
      </c>
      <c r="H11" s="6">
        <v>1636</v>
      </c>
      <c r="I11" s="6">
        <v>1806</v>
      </c>
      <c r="J11" s="6">
        <v>2219</v>
      </c>
      <c r="K11" s="6">
        <v>2883</v>
      </c>
      <c r="L11" s="6">
        <v>646</v>
      </c>
    </row>
    <row r="12" spans="1:12" x14ac:dyDescent="0.3">
      <c r="A12" s="11"/>
      <c r="B12" s="52" t="s">
        <v>256</v>
      </c>
      <c r="C12" s="69">
        <v>245</v>
      </c>
      <c r="D12" s="69">
        <v>453</v>
      </c>
      <c r="E12" s="69">
        <v>352</v>
      </c>
      <c r="F12" s="69">
        <v>118</v>
      </c>
      <c r="G12" s="69">
        <v>218</v>
      </c>
      <c r="H12" s="69">
        <v>230</v>
      </c>
      <c r="I12" s="69">
        <v>306</v>
      </c>
      <c r="J12" s="69">
        <v>309</v>
      </c>
      <c r="K12" s="69">
        <v>491</v>
      </c>
      <c r="L12" s="69">
        <v>124</v>
      </c>
    </row>
    <row r="13" spans="1:12" x14ac:dyDescent="0.3">
      <c r="A13" s="12" t="s">
        <v>18</v>
      </c>
      <c r="B13" s="68" t="s">
        <v>254</v>
      </c>
      <c r="C13" s="6"/>
      <c r="D13" s="6"/>
      <c r="E13" s="6"/>
      <c r="F13" s="6"/>
      <c r="G13" s="6">
        <v>1774</v>
      </c>
      <c r="H13" s="6">
        <v>1988</v>
      </c>
      <c r="I13" s="6">
        <v>2030</v>
      </c>
      <c r="J13" s="6">
        <v>2505</v>
      </c>
      <c r="K13" s="6">
        <v>2424</v>
      </c>
      <c r="L13" s="6">
        <v>413</v>
      </c>
    </row>
    <row r="14" spans="1:12" x14ac:dyDescent="0.3">
      <c r="A14" s="12"/>
      <c r="B14" s="68" t="s">
        <v>255</v>
      </c>
      <c r="C14" s="6"/>
      <c r="D14" s="6"/>
      <c r="E14" s="6"/>
      <c r="F14" s="6"/>
      <c r="G14" s="6">
        <v>1758</v>
      </c>
      <c r="H14" s="6">
        <v>1981</v>
      </c>
      <c r="I14" s="6">
        <v>2029</v>
      </c>
      <c r="J14" s="6">
        <v>2497</v>
      </c>
      <c r="K14" s="6">
        <v>2421</v>
      </c>
      <c r="L14" s="6">
        <v>413</v>
      </c>
    </row>
    <row r="15" spans="1:12" x14ac:dyDescent="0.3">
      <c r="A15" s="12"/>
      <c r="B15" s="52" t="s">
        <v>256</v>
      </c>
      <c r="C15" s="69"/>
      <c r="D15" s="69"/>
      <c r="E15" s="69"/>
      <c r="F15" s="69"/>
      <c r="G15" s="69">
        <v>179</v>
      </c>
      <c r="H15" s="69">
        <v>19</v>
      </c>
      <c r="I15" s="69">
        <v>24</v>
      </c>
      <c r="J15" s="69">
        <v>162</v>
      </c>
      <c r="K15" s="69">
        <v>63</v>
      </c>
      <c r="L15" s="69">
        <v>10</v>
      </c>
    </row>
    <row r="16" spans="1:12" x14ac:dyDescent="0.3">
      <c r="A16" s="13" t="s">
        <v>19</v>
      </c>
      <c r="B16" s="68" t="s">
        <v>254</v>
      </c>
      <c r="C16" s="6"/>
      <c r="D16" s="6"/>
      <c r="E16" s="6"/>
      <c r="F16" s="6">
        <v>565</v>
      </c>
      <c r="G16" s="6">
        <v>2522</v>
      </c>
      <c r="H16" s="6">
        <v>3220</v>
      </c>
      <c r="I16" s="6">
        <v>4073</v>
      </c>
      <c r="J16" s="6">
        <v>5763</v>
      </c>
      <c r="K16" s="6">
        <v>6702</v>
      </c>
      <c r="L16" s="6">
        <v>1019</v>
      </c>
    </row>
    <row r="17" spans="1:12" x14ac:dyDescent="0.3">
      <c r="A17" s="13"/>
      <c r="B17" s="68" t="s">
        <v>255</v>
      </c>
      <c r="C17" s="6"/>
      <c r="D17" s="6"/>
      <c r="E17" s="6"/>
      <c r="F17" s="6">
        <v>554</v>
      </c>
      <c r="G17" s="6">
        <v>2502</v>
      </c>
      <c r="H17" s="6">
        <v>3171</v>
      </c>
      <c r="I17" s="6">
        <v>4033</v>
      </c>
      <c r="J17" s="6">
        <v>5750</v>
      </c>
      <c r="K17" s="6">
        <v>6677</v>
      </c>
      <c r="L17" s="6">
        <v>1018</v>
      </c>
    </row>
    <row r="18" spans="1:12" x14ac:dyDescent="0.3">
      <c r="A18" s="13"/>
      <c r="B18" s="52" t="s">
        <v>256</v>
      </c>
      <c r="C18" s="69"/>
      <c r="D18" s="69"/>
      <c r="E18" s="69"/>
      <c r="F18" s="69">
        <v>39</v>
      </c>
      <c r="G18" s="69">
        <v>108</v>
      </c>
      <c r="H18" s="69">
        <v>173</v>
      </c>
      <c r="I18" s="69">
        <v>53</v>
      </c>
      <c r="J18" s="69">
        <v>59</v>
      </c>
      <c r="K18" s="69">
        <v>263</v>
      </c>
      <c r="L18" s="69">
        <v>12</v>
      </c>
    </row>
    <row r="19" spans="1:12" x14ac:dyDescent="0.3">
      <c r="A19" s="14" t="s">
        <v>20</v>
      </c>
      <c r="B19" s="68" t="s">
        <v>254</v>
      </c>
      <c r="C19" s="6">
        <v>455</v>
      </c>
      <c r="D19" s="6">
        <v>727</v>
      </c>
      <c r="E19" s="6">
        <v>1204</v>
      </c>
      <c r="F19" s="6">
        <v>696</v>
      </c>
      <c r="G19" s="6">
        <v>1246</v>
      </c>
      <c r="H19" s="6">
        <v>1443</v>
      </c>
      <c r="I19" s="6">
        <v>1616</v>
      </c>
      <c r="J19" s="6">
        <v>2056</v>
      </c>
      <c r="K19" s="6">
        <v>2866</v>
      </c>
      <c r="L19" s="6">
        <v>699</v>
      </c>
    </row>
    <row r="20" spans="1:12" x14ac:dyDescent="0.3">
      <c r="A20" s="14"/>
      <c r="B20" s="68" t="s">
        <v>255</v>
      </c>
      <c r="C20" s="6">
        <v>453</v>
      </c>
      <c r="D20" s="6">
        <v>725</v>
      </c>
      <c r="E20" s="6">
        <v>1180</v>
      </c>
      <c r="F20" s="6">
        <v>572</v>
      </c>
      <c r="G20" s="6">
        <v>1238</v>
      </c>
      <c r="H20" s="6">
        <v>1441</v>
      </c>
      <c r="I20" s="6">
        <v>1610</v>
      </c>
      <c r="J20" s="6">
        <v>2056</v>
      </c>
      <c r="K20" s="6">
        <v>2863</v>
      </c>
      <c r="L20" s="6">
        <v>699</v>
      </c>
    </row>
    <row r="21" spans="1:12" x14ac:dyDescent="0.3">
      <c r="A21" s="14"/>
      <c r="B21" s="52" t="s">
        <v>256</v>
      </c>
      <c r="C21" s="69">
        <v>101</v>
      </c>
      <c r="D21" s="69">
        <v>20</v>
      </c>
      <c r="E21" s="69">
        <v>3</v>
      </c>
      <c r="F21" s="69">
        <v>19</v>
      </c>
      <c r="G21" s="69">
        <v>86</v>
      </c>
      <c r="H21" s="69">
        <v>78</v>
      </c>
      <c r="I21" s="69">
        <v>139</v>
      </c>
      <c r="J21" s="69">
        <v>87</v>
      </c>
      <c r="K21" s="69">
        <v>267</v>
      </c>
      <c r="L21" s="69">
        <v>48</v>
      </c>
    </row>
    <row r="22" spans="1:12" x14ac:dyDescent="0.3">
      <c r="A22" s="15" t="s">
        <v>21</v>
      </c>
      <c r="B22" s="68" t="s">
        <v>254</v>
      </c>
      <c r="C22" s="6">
        <v>877</v>
      </c>
      <c r="D22" s="6">
        <v>861</v>
      </c>
      <c r="E22" s="6">
        <v>981</v>
      </c>
      <c r="F22" s="6">
        <v>553</v>
      </c>
      <c r="G22" s="6">
        <v>924</v>
      </c>
      <c r="H22" s="6">
        <v>1204</v>
      </c>
      <c r="I22" s="6">
        <v>1675</v>
      </c>
      <c r="J22" s="6">
        <v>2000</v>
      </c>
      <c r="K22" s="6">
        <v>1954</v>
      </c>
      <c r="L22" s="6">
        <v>319</v>
      </c>
    </row>
    <row r="23" spans="1:12" x14ac:dyDescent="0.3">
      <c r="A23" s="15"/>
      <c r="B23" s="68" t="s">
        <v>255</v>
      </c>
      <c r="C23" s="6">
        <v>835</v>
      </c>
      <c r="D23" s="6">
        <v>841</v>
      </c>
      <c r="E23" s="6">
        <v>906</v>
      </c>
      <c r="F23" s="6">
        <v>398</v>
      </c>
      <c r="G23" s="6">
        <v>901</v>
      </c>
      <c r="H23" s="6">
        <v>1191</v>
      </c>
      <c r="I23" s="6">
        <v>1651</v>
      </c>
      <c r="J23" s="6">
        <v>1953</v>
      </c>
      <c r="K23" s="6">
        <v>1884</v>
      </c>
      <c r="L23" s="6">
        <v>315</v>
      </c>
    </row>
    <row r="24" spans="1:12" x14ac:dyDescent="0.3">
      <c r="A24" s="15"/>
      <c r="B24" s="52" t="s">
        <v>256</v>
      </c>
      <c r="C24" s="69">
        <v>243</v>
      </c>
      <c r="D24" s="69">
        <v>14</v>
      </c>
      <c r="E24" s="69">
        <v>41</v>
      </c>
      <c r="F24" s="69">
        <v>41</v>
      </c>
      <c r="G24" s="69">
        <v>64</v>
      </c>
      <c r="H24" s="69">
        <v>139</v>
      </c>
      <c r="I24" s="69">
        <v>256</v>
      </c>
      <c r="J24" s="69">
        <v>331</v>
      </c>
      <c r="K24" s="69">
        <v>283</v>
      </c>
      <c r="L24" s="69">
        <v>51</v>
      </c>
    </row>
    <row r="25" spans="1:12" x14ac:dyDescent="0.3">
      <c r="A25" s="16" t="s">
        <v>22</v>
      </c>
      <c r="B25" s="68" t="s">
        <v>254</v>
      </c>
      <c r="C25" s="6">
        <v>491</v>
      </c>
      <c r="D25" s="6">
        <v>365</v>
      </c>
      <c r="E25" s="6">
        <v>322</v>
      </c>
      <c r="F25" s="6">
        <v>91</v>
      </c>
      <c r="G25" s="6">
        <v>206</v>
      </c>
      <c r="H25" s="6">
        <v>269</v>
      </c>
      <c r="I25" s="6">
        <v>330</v>
      </c>
      <c r="J25" s="6">
        <v>460</v>
      </c>
      <c r="K25" s="6">
        <v>536</v>
      </c>
      <c r="L25" s="6">
        <v>129</v>
      </c>
    </row>
    <row r="26" spans="1:12" x14ac:dyDescent="0.3">
      <c r="A26" s="16"/>
      <c r="B26" s="68" t="s">
        <v>255</v>
      </c>
      <c r="C26" s="6">
        <v>444</v>
      </c>
      <c r="D26" s="6">
        <v>361</v>
      </c>
      <c r="E26" s="6">
        <v>302</v>
      </c>
      <c r="F26" s="6">
        <v>83</v>
      </c>
      <c r="G26" s="6">
        <v>206</v>
      </c>
      <c r="H26" s="6">
        <v>262</v>
      </c>
      <c r="I26" s="6">
        <v>327</v>
      </c>
      <c r="J26" s="6">
        <v>454</v>
      </c>
      <c r="K26" s="6">
        <v>522</v>
      </c>
      <c r="L26" s="6">
        <v>112</v>
      </c>
    </row>
    <row r="27" spans="1:12" x14ac:dyDescent="0.3">
      <c r="A27" s="16"/>
      <c r="B27" s="52" t="s">
        <v>256</v>
      </c>
      <c r="C27" s="69">
        <v>181</v>
      </c>
      <c r="D27" s="69">
        <v>71</v>
      </c>
      <c r="E27" s="69">
        <v>2</v>
      </c>
      <c r="F27" s="69">
        <v>13</v>
      </c>
      <c r="G27" s="69">
        <v>5</v>
      </c>
      <c r="H27" s="69">
        <v>4</v>
      </c>
      <c r="I27" s="69">
        <v>70</v>
      </c>
      <c r="J27" s="69">
        <v>79</v>
      </c>
      <c r="K27" s="69">
        <v>115</v>
      </c>
      <c r="L27" s="69">
        <v>17</v>
      </c>
    </row>
  </sheetData>
  <mergeCells count="4">
    <mergeCell ref="A1:L1"/>
    <mergeCell ref="A2:A3"/>
    <mergeCell ref="B2:B3"/>
    <mergeCell ref="C2:L2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430589-CC1F-42A6-85F9-71AFF0356FE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Carga Procesal</vt:lpstr>
      <vt:lpstr>Poblacion_Data</vt:lpstr>
      <vt:lpstr>Poblacion_Pivot</vt:lpstr>
      <vt:lpstr>Resumen_Provincia</vt:lpstr>
      <vt:lpstr>Detalle_Provincia</vt:lpstr>
      <vt:lpstr>Resumen_Tipo</vt:lpstr>
      <vt:lpstr>Data_Plana</vt:lpstr>
      <vt:lpstr>Resumen</vt:lpstr>
      <vt:lpstr>Audiencias_Data</vt:lpstr>
      <vt:lpstr>Audiencias_Pivot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ALUMNO - ANDERSON VICTOR ROMERO SANTOS</cp:lastModifiedBy>
  <dcterms:created xsi:type="dcterms:W3CDTF">2026-05-05T02:51:48Z</dcterms:created>
  <dcterms:modified xsi:type="dcterms:W3CDTF">2026-05-05T04:21:57Z</dcterms:modified>
</cp:coreProperties>
</file>